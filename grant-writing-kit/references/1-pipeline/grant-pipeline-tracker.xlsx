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Deadline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A6558"/>
    </font>
    <font>
      <b val="1"/>
      <color rgb="001F3A2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A24"/>
      </patternFill>
    </fill>
  </fills>
  <borders count="2">
    <border>
      <left/>
      <right/>
      <top/>
      <bottom/>
      <diagonal/>
    </border>
    <border>
      <bottom style="thin">
        <color rgb="00D8E2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6" fontId="4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10" customWidth="1" min="4" max="4"/>
    <col width="13" customWidth="1" min="5" max="5"/>
    <col width="12" customWidth="1" min="6" max="6"/>
    <col width="12" customWidth="1" min="7" max="7"/>
    <col width="10" customWidth="1" min="8" max="8"/>
    <col width="13" customWidth="1" min="9" max="9"/>
    <col width="16" customWidth="1" min="10" max="10"/>
    <col width="16" customWidth="1" min="11" max="11"/>
    <col width="44" customWidth="1" min="12" max="12"/>
    <col width="13" customWidth="1" min="13" max="13"/>
    <col width="11" customWidth="1" min="14" max="14"/>
    <col width="12" customWidth="1" min="15" max="15"/>
    <col width="44" customWidth="1" min="16" max="16"/>
  </cols>
  <sheetData>
    <row r="1">
      <c r="A1" s="1" t="inlineStr">
        <is>
          <t>ID</t>
        </is>
      </c>
      <c r="B1" s="1" t="inlineStr">
        <is>
          <t>Funder</t>
        </is>
      </c>
      <c r="C1" s="1" t="inlineStr">
        <is>
          <t>Grant / program</t>
        </is>
      </c>
      <c r="D1" s="1" t="inlineStr">
        <is>
          <t>Ask ($)</t>
        </is>
      </c>
      <c r="E1" s="1" t="inlineStr">
        <is>
          <t>Round</t>
        </is>
      </c>
      <c r="F1" s="1" t="inlineStr">
        <is>
          <t>Deadline</t>
        </is>
      </c>
      <c r="G1" s="1" t="inlineStr">
        <is>
          <t>Days left (auto)</t>
        </is>
      </c>
      <c r="H1" s="1" t="inlineStr">
        <is>
          <t>Fit (0-100)</t>
        </is>
      </c>
      <c r="I1" s="1" t="inlineStr">
        <is>
          <t>Decision</t>
        </is>
      </c>
      <c r="J1" s="1" t="inlineStr">
        <is>
          <t>Status</t>
        </is>
      </c>
      <c r="K1" s="1" t="inlineStr">
        <is>
          <t>Owner</t>
        </is>
      </c>
      <c r="L1" s="1" t="inlineStr">
        <is>
          <t>Next action</t>
        </is>
      </c>
      <c r="M1" s="1" t="inlineStr">
        <is>
          <t>Next-action date</t>
        </is>
      </c>
      <c r="N1" s="1" t="inlineStr">
        <is>
          <t>Awarded ($)</t>
        </is>
      </c>
      <c r="O1" s="1" t="inlineStr">
        <is>
          <t>Award date</t>
        </is>
      </c>
      <c r="P1" s="1" t="inlineStr">
        <is>
          <t>Notes</t>
        </is>
      </c>
    </row>
    <row r="2">
      <c r="A2" s="2" t="inlineStr">
        <is>
          <t>G-001</t>
        </is>
      </c>
      <c r="B2" s="3" t="inlineStr">
        <is>
          <t>Riverbend Community Foundation</t>
        </is>
      </c>
      <c r="C2" s="3" t="inlineStr">
        <is>
          <t>General Operating Support</t>
        </is>
      </c>
      <c r="D2" s="4" t="n">
        <v>15000</v>
      </c>
      <c r="E2" s="2" t="inlineStr">
        <is>
          <t>LOI</t>
        </is>
      </c>
      <c r="F2" s="5" t="n">
        <v>46304</v>
      </c>
      <c r="G2" s="6">
        <f>IF(F2="","",F2-TODAY())</f>
        <v/>
      </c>
      <c r="H2" s="2" t="n">
        <v>75</v>
      </c>
      <c r="I2" s="2" t="inlineStr">
        <is>
          <t>GO</t>
        </is>
      </c>
      <c r="J2" s="2" t="inlineStr">
        <is>
          <t>Writing LOI</t>
        </is>
      </c>
      <c r="K2" s="2" t="inlineStr">
        <is>
          <t>Maya R. (ED)</t>
        </is>
      </c>
      <c r="L2" s="3" t="inlineStr">
        <is>
          <t>Board signs off on the budget numbers the LOI cites</t>
        </is>
      </c>
      <c r="M2" s="5" t="n">
        <v>46294</v>
      </c>
      <c r="N2" s="4" t="n"/>
      <c r="O2" s="2" t="n"/>
      <c r="P2" s="3" t="inlineStr">
        <is>
          <t>the go-no-go worked example; LOI draft started from 5-loi-library</t>
        </is>
      </c>
    </row>
    <row r="3">
      <c r="A3" s="2" t="inlineStr">
        <is>
          <t>G-002</t>
        </is>
      </c>
      <c r="B3" s="3" t="inlineStr">
        <is>
          <t>State Humanities Council</t>
        </is>
      </c>
      <c r="C3" s="3" t="inlineStr">
        <is>
          <t>Cultural Programs Fund</t>
        </is>
      </c>
      <c r="D3" s="4" t="n">
        <v>25000</v>
      </c>
      <c r="E3" s="2" t="inlineStr">
        <is>
          <t>Full proposal</t>
        </is>
      </c>
      <c r="F3" s="5" t="n">
        <v>46340</v>
      </c>
      <c r="G3" s="6">
        <f>IF(F3="","",F3-TODAY())</f>
        <v/>
      </c>
      <c r="H3" s="2" t="n">
        <v>61</v>
      </c>
      <c r="I3" s="2" t="inlineStr">
        <is>
          <t>CONDITIONAL</t>
        </is>
      </c>
      <c r="J3" s="2" t="inlineStr">
        <is>
          <t>Scoring</t>
        </is>
      </c>
      <c r="K3" s="2" t="inlineStr">
        <is>
          <t>Maya R. (ED)</t>
        </is>
      </c>
      <c r="L3" s="3" t="inlineStr">
        <is>
          <t>Re-score after G-001 lands; writing hours depend on it</t>
        </is>
      </c>
      <c r="M3" s="5" t="n">
        <v>46300</v>
      </c>
      <c r="N3" s="4" t="n"/>
      <c r="O3" s="2" t="n"/>
      <c r="P3" s="3" t="inlineStr">
        <is>
          <t>conditional verdict — do not start the proposal before the re-score</t>
        </is>
      </c>
    </row>
    <row r="4">
      <c r="A4" s="2" t="inlineStr">
        <is>
          <t>G-003</t>
        </is>
      </c>
      <c r="B4" s="3" t="inlineStr">
        <is>
          <t>Lakeshore Bank Foundation</t>
        </is>
      </c>
      <c r="C4" s="3" t="inlineStr">
        <is>
          <t>Nonprofit Capacity Fund</t>
        </is>
      </c>
      <c r="D4" s="4" t="n">
        <v>10000</v>
      </c>
      <c r="E4" s="2" t="inlineStr">
        <is>
          <t>Invite-only</t>
        </is>
      </c>
      <c r="F4" s="5" t="n">
        <v>46357</v>
      </c>
      <c r="G4" s="6">
        <f>IF(F4="","",F4-TODAY())</f>
        <v/>
      </c>
      <c r="H4" s="2" t="n">
        <v>58</v>
      </c>
      <c r="I4" s="2" t="inlineStr">
        <is>
          <t>CONDITIONAL</t>
        </is>
      </c>
      <c r="J4" s="2" t="inlineStr">
        <is>
          <t>Researching</t>
        </is>
      </c>
      <c r="K4" s="2" t="inlineStr">
        <is>
          <t>Devin P. (Program)</t>
        </is>
      </c>
      <c r="L4" s="3" t="inlineStr">
        <is>
          <t>Ask the bank's community-relations officer for the application form</t>
        </is>
      </c>
      <c r="M4" s="5" t="n">
        <v>46307</v>
      </c>
      <c r="N4" s="4" t="n"/>
      <c r="O4" s="2" t="n"/>
      <c r="P4" s="3" t="inlineStr">
        <is>
          <t>relationship is warm but nothing is in writing yet</t>
        </is>
      </c>
    </row>
    <row r="5">
      <c r="A5" s="2" t="inlineStr">
        <is>
          <t>G-004</t>
        </is>
      </c>
      <c r="B5" s="3" t="inlineStr">
        <is>
          <t>County Arts Board</t>
        </is>
      </c>
      <c r="C5" s="3" t="inlineStr">
        <is>
          <t>Arts-in-Education Grants</t>
        </is>
      </c>
      <c r="D5" s="4" t="n">
        <v>8500</v>
      </c>
      <c r="E5" s="2" t="inlineStr">
        <is>
          <t>Full proposal</t>
        </is>
      </c>
      <c r="F5" s="5" t="n">
        <v>46325</v>
      </c>
      <c r="G5" s="6">
        <f>IF(F5="","",F5-TODAY())</f>
        <v/>
      </c>
      <c r="H5" s="2" t="n">
        <v>41</v>
      </c>
      <c r="I5" s="2" t="inlineStr">
        <is>
          <t>NO-GO</t>
        </is>
      </c>
      <c r="J5" s="2" t="inlineStr">
        <is>
          <t>Passed</t>
        </is>
      </c>
      <c r="K5" s="2" t="inlineStr">
        <is>
          <t>Maya R. (ED)</t>
        </is>
      </c>
      <c r="L5" s="3" t="inlineStr">
        <is>
          <t>Withdrawal note sent; asked to stay on the mailing list</t>
        </is>
      </c>
      <c r="M5" s="5" t="n">
        <v>46289</v>
      </c>
      <c r="N5" s="4" t="n"/>
      <c r="O5" s="2" t="n"/>
      <c r="P5" s="3" t="inlineStr">
        <is>
          <t>deadline clashed with the Humanities proposal — a pass is a decision</t>
        </is>
      </c>
    </row>
    <row r="6">
      <c r="A6" s="2" t="inlineStr">
        <is>
          <t>G-005</t>
        </is>
      </c>
      <c r="B6" s="3" t="inlineStr">
        <is>
          <t>Feeler Family Trust</t>
        </is>
      </c>
      <c r="C6" s="3" t="inlineStr">
        <is>
          <t>Annual Giving (renewal)</t>
        </is>
      </c>
      <c r="D6" s="4" t="n">
        <v>5000</v>
      </c>
      <c r="E6" s="2" t="inlineStr">
        <is>
          <t>Renewal</t>
        </is>
      </c>
      <c r="F6" s="5" t="n">
        <v>46402</v>
      </c>
      <c r="G6" s="6">
        <f>IF(F6="","",F6-TODAY())</f>
        <v/>
      </c>
      <c r="H6" s="2" t="n">
        <v>80</v>
      </c>
      <c r="I6" s="2" t="inlineStr">
        <is>
          <t>GO</t>
        </is>
      </c>
      <c r="J6" s="2" t="inlineStr">
        <is>
          <t>Submitted</t>
        </is>
      </c>
      <c r="K6" s="2" t="inlineStr">
        <is>
          <t>Maya R. (ED)</t>
        </is>
      </c>
      <c r="L6" s="3" t="inlineStr">
        <is>
          <t>Report + thank-you mailed 9/12; renewal ask amount unchanged</t>
        </is>
      </c>
      <c r="M6" s="2" t="n"/>
      <c r="N6" s="4" t="n"/>
      <c r="O6" s="2" t="n"/>
      <c r="P6" s="3" t="inlineStr">
        <is>
          <t>renewal of last year's grant — pipeline-sop.md renewal tier</t>
        </is>
      </c>
    </row>
    <row r="7">
      <c r="A7" s="2" t="inlineStr">
        <is>
          <t>G-006</t>
        </is>
      </c>
      <c r="B7" s="3" t="inlineStr">
        <is>
          <t>United Way of the River Valley</t>
        </is>
      </c>
      <c r="C7" s="3" t="inlineStr">
        <is>
          <t>Education Impact Area</t>
        </is>
      </c>
      <c r="D7" s="4" t="n">
        <v>12000</v>
      </c>
      <c r="E7" s="2" t="inlineStr">
        <is>
          <t>LOI</t>
        </is>
      </c>
      <c r="F7" s="5" t="n">
        <v>46289</v>
      </c>
      <c r="G7" s="6">
        <f>IF(F7="","",F7-TODAY())</f>
        <v/>
      </c>
      <c r="H7" s="2" t="n">
        <v>72</v>
      </c>
      <c r="I7" s="2" t="inlineStr">
        <is>
          <t>GO</t>
        </is>
      </c>
      <c r="J7" s="2" t="inlineStr">
        <is>
          <t>Writing LOI</t>
        </is>
      </c>
      <c r="K7" s="2" t="inlineStr">
        <is>
          <t>Devin P. (Program)</t>
        </is>
      </c>
      <c r="L7" s="3" t="inlineStr">
        <is>
          <t>Deadline passed — call the program officer today: extension or pass</t>
        </is>
      </c>
      <c r="M7" s="5" t="n">
        <v>46291</v>
      </c>
      <c r="N7" s="4" t="n"/>
      <c r="O7" s="2" t="n"/>
      <c r="P7" s="3" t="inlineStr">
        <is>
          <t>left overdue ON PURPOSE in this example — this is what the radar catches</t>
        </is>
      </c>
    </row>
    <row r="8">
      <c r="A8" s="2" t="inlineStr">
        <is>
          <t>G-007</t>
        </is>
      </c>
      <c r="B8" s="3" t="inlineStr">
        <is>
          <t>Grant County Women's Fund</t>
        </is>
      </c>
      <c r="C8" s="3" t="inlineStr">
        <is>
          <t>Fast Grants</t>
        </is>
      </c>
      <c r="D8" s="4" t="n">
        <v>4000</v>
      </c>
      <c r="E8" s="2" t="inlineStr">
        <is>
          <t>LOI</t>
        </is>
      </c>
      <c r="F8" s="5" t="n">
        <v>46249</v>
      </c>
      <c r="G8" s="6">
        <f>IF(F8="","",F8-TODAY())</f>
        <v/>
      </c>
      <c r="H8" s="2" t="n">
        <v>70</v>
      </c>
      <c r="I8" s="2" t="inlineStr">
        <is>
          <t>GO</t>
        </is>
      </c>
      <c r="J8" s="2" t="inlineStr">
        <is>
          <t>Reporting</t>
        </is>
      </c>
      <c r="K8" s="2" t="inlineStr">
        <is>
          <t>Maya R. (ED)</t>
        </is>
      </c>
      <c r="L8" s="3" t="inlineStr">
        <is>
          <t>Report due 2027-08-15 — calendar block made for July</t>
        </is>
      </c>
      <c r="M8" s="2" t="n"/>
      <c r="N8" s="4" t="n">
        <v>4000</v>
      </c>
      <c r="O8" s="5" t="n">
        <v>46267</v>
      </c>
      <c r="P8" s="3" t="inlineStr">
        <is>
          <t>awarded same-day thank-you sent; board thanked them by name</t>
        </is>
      </c>
    </row>
    <row r="9">
      <c r="G9" s="7">
        <f>IF(F9="","",F9-TODAY())</f>
        <v/>
      </c>
    </row>
    <row r="10">
      <c r="G10" s="7">
        <f>IF(F10="","",F10-TODAY())</f>
        <v/>
      </c>
    </row>
    <row r="11">
      <c r="G11" s="7">
        <f>IF(F11="","",F11-TODAY())</f>
        <v/>
      </c>
    </row>
    <row r="12">
      <c r="G12" s="7">
        <f>IF(F12="","",F12-TODAY())</f>
        <v/>
      </c>
    </row>
    <row r="13">
      <c r="G13" s="7">
        <f>IF(F13="","",F13-TODAY())</f>
        <v/>
      </c>
    </row>
    <row r="14">
      <c r="G14" s="7">
        <f>IF(F14="","",F14-TODAY())</f>
        <v/>
      </c>
    </row>
    <row r="15">
      <c r="G15" s="7">
        <f>IF(F15="","",F15-TODAY())</f>
        <v/>
      </c>
    </row>
    <row r="16">
      <c r="G16" s="7">
        <f>IF(F16="","",F16-TODAY())</f>
        <v/>
      </c>
    </row>
    <row r="17">
      <c r="G17" s="7">
        <f>IF(F17="","",F17-TODAY())</f>
        <v/>
      </c>
    </row>
    <row r="18">
      <c r="G18" s="7">
        <f>IF(F18="","",F18-TODAY())</f>
        <v/>
      </c>
    </row>
    <row r="19">
      <c r="G19" s="7">
        <f>IF(F19="","",F19-TODAY())</f>
        <v/>
      </c>
    </row>
    <row r="20">
      <c r="G20" s="7">
        <f>IF(F20="","",F20-TODAY())</f>
        <v/>
      </c>
    </row>
    <row r="21">
      <c r="G21" s="7">
        <f>IF(F21="","",F21-TODAY())</f>
        <v/>
      </c>
    </row>
    <row r="22">
      <c r="G22" s="7">
        <f>IF(F22="","",F22-TODAY())</f>
        <v/>
      </c>
    </row>
    <row r="23">
      <c r="G23" s="7">
        <f>IF(F23="","",F23-TODAY())</f>
        <v/>
      </c>
    </row>
    <row r="24">
      <c r="G24" s="7">
        <f>IF(F24="","",F24-TODAY())</f>
        <v/>
      </c>
    </row>
    <row r="25">
      <c r="G25" s="7">
        <f>IF(F25="","",F25-TODAY())</f>
        <v/>
      </c>
    </row>
    <row r="26">
      <c r="G26" s="7">
        <f>IF(F26="","",F26-TODAY())</f>
        <v/>
      </c>
    </row>
    <row r="27">
      <c r="G27" s="7">
        <f>IF(F27="","",F27-TODAY())</f>
        <v/>
      </c>
    </row>
    <row r="28">
      <c r="G28" s="7">
        <f>IF(F28="","",F28-TODAY())</f>
        <v/>
      </c>
    </row>
    <row r="29">
      <c r="G29" s="7">
        <f>IF(F29="","",F29-TODAY())</f>
        <v/>
      </c>
    </row>
    <row r="30">
      <c r="G30" s="7">
        <f>IF(F30="","",F30-TODAY())</f>
        <v/>
      </c>
    </row>
    <row r="31">
      <c r="G31" s="7">
        <f>IF(F31="","",F31-TODAY())</f>
        <v/>
      </c>
    </row>
    <row r="32">
      <c r="G32" s="7">
        <f>IF(F32="","",F32-TODAY())</f>
        <v/>
      </c>
    </row>
    <row r="33">
      <c r="G33" s="7">
        <f>IF(F33="","",F33-TODAY())</f>
        <v/>
      </c>
    </row>
    <row r="34">
      <c r="G34" s="7">
        <f>IF(F34="","",F34-TODAY())</f>
        <v/>
      </c>
    </row>
    <row r="35">
      <c r="G35" s="7">
        <f>IF(F35="","",F35-TODAY())</f>
        <v/>
      </c>
    </row>
    <row r="36">
      <c r="G36" s="7">
        <f>IF(F36="","",F36-TODAY())</f>
        <v/>
      </c>
    </row>
    <row r="37">
      <c r="G37" s="7">
        <f>IF(F37="","",F37-TODAY())</f>
        <v/>
      </c>
    </row>
    <row r="38">
      <c r="G38" s="7">
        <f>IF(F38="","",F38-TODAY())</f>
        <v/>
      </c>
    </row>
    <row r="39">
      <c r="G39" s="7">
        <f>IF(F39="","",F39-TODAY())</f>
        <v/>
      </c>
    </row>
    <row r="40">
      <c r="G40" s="7">
        <f>IF(F40="","",F40-TODAY())</f>
        <v/>
      </c>
    </row>
    <row r="41">
      <c r="G41" s="7">
        <f>IF(F41="","",F41-TODAY())</f>
        <v/>
      </c>
    </row>
    <row r="42">
      <c r="G42" s="7">
        <f>IF(F42="","",F42-TODAY())</f>
        <v/>
      </c>
    </row>
    <row r="43">
      <c r="G43" s="7">
        <f>IF(F43="","",F43-TODAY())</f>
        <v/>
      </c>
    </row>
    <row r="44">
      <c r="G44" s="7">
        <f>IF(F44="","",F44-TODAY())</f>
        <v/>
      </c>
    </row>
    <row r="45">
      <c r="G45" s="7">
        <f>IF(F45="","",F45-TODAY())</f>
        <v/>
      </c>
    </row>
    <row r="46">
      <c r="G46" s="7">
        <f>IF(F46="","",F46-TODAY())</f>
        <v/>
      </c>
    </row>
    <row r="47">
      <c r="G47" s="7">
        <f>IF(F47="","",F47-TODAY())</f>
        <v/>
      </c>
    </row>
    <row r="48">
      <c r="G48" s="7">
        <f>IF(F48="","",F48-TODAY())</f>
        <v/>
      </c>
    </row>
    <row r="49">
      <c r="G49" s="7">
        <f>IF(F49="","",F49-TODAY())</f>
        <v/>
      </c>
    </row>
    <row r="50">
      <c r="G50" s="7">
        <f>IF(F50="","",F50-TODAY())</f>
        <v/>
      </c>
    </row>
    <row r="51">
      <c r="G51" s="7">
        <f>IF(F51="","",F51-TODAY())</f>
        <v/>
      </c>
    </row>
    <row r="55">
      <c r="A55" s="8" t="inlineStr">
        <is>
          <t>Rows 2-8 are a worked example (one fictional nonprofit) — overwrite with your real rows.</t>
        </is>
      </c>
    </row>
    <row r="56">
      <c r="A56" s="8" t="inlineStr">
        <is>
          <t>Rules: one row per funder program (not per contact) · Deadline is THEIR deadline,</t>
        </is>
      </c>
    </row>
    <row r="57">
      <c r="A57" s="8" t="inlineStr">
        <is>
          <t>your internal deadline lives in Next-action date · Decision comes from 2-go-no-go/.</t>
        </is>
      </c>
    </row>
  </sheetData>
  <dataValidations count="3">
    <dataValidation sqref="E2:E200" showDropDown="0" showInputMessage="0" showErrorMessage="0" allowBlank="1" type="list">
      <formula1>"LOI,Full proposal,Invite-only,Renewal,Report"</formula1>
    </dataValidation>
    <dataValidation sqref="I2:I200" showDropDown="0" showInputMessage="0" showErrorMessage="0" allowBlank="1" type="list">
      <formula1>"GO,CONDITIONAL,NO-GO"</formula1>
    </dataValidation>
    <dataValidation sqref="J2:J200" showDropDown="0" showInputMessage="0" showErrorMessage="0" allowBlank="1" type="list">
      <formula1>"Researching,Scoring,Writing LOI,Writing proposal,Submitted,Awarded,Not funded,Passed,Reporting,Renewal due"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9" t="inlineStr">
        <is>
          <t>Deadline radar — counts update live from the Pipeline sheet</t>
        </is>
      </c>
    </row>
    <row r="3">
      <c r="A3" s="2" t="inlineStr">
        <is>
          <t>Deadlines in the next 7 days</t>
        </is>
      </c>
      <c r="B3" s="10">
        <f>COUNTIFS(Pipeline!$F$2:$F$200,"&gt;="&amp;TODAY(),Pipeline!$F$2:$F$200,"&lt;="&amp;TODAY()+7)</f>
        <v/>
      </c>
    </row>
    <row r="4">
      <c r="A4" s="2" t="inlineStr">
        <is>
          <t>Deadlines in 8-30 days</t>
        </is>
      </c>
      <c r="B4" s="10">
        <f>COUNTIFS(Pipeline!$F$2:$F$200,"&gt;"&amp;TODAY()+7,Pipeline!$F$2:$F$200,"&lt;="&amp;TODAY()+30)</f>
        <v/>
      </c>
    </row>
    <row r="5">
      <c r="A5" s="2" t="inlineStr">
        <is>
          <t>Open items already past their deadline (the red row)</t>
        </is>
      </c>
      <c r="B5" s="10">
        <f>COUNTIFS(Pipeline!$F$2:$F$200,"&lt;"&amp;TODAY(),Pipeline!$J$2:$J$200,"Researching")+COUNTIFS(Pipeline!$F$2:$F$200,"&lt;"&amp;TODAY(),Pipeline!$J$2:$J$200,"Scoring")+COUNTIFS(Pipeline!$F$2:$F$200,"&lt;"&amp;TODAY(),Pipeline!$J$2:$J$200,"Writing LOI")+COUNTIFS(Pipeline!$F$2:$F$200,"&lt;"&amp;TODAY(),Pipeline!$J$2:$J$200,"Writing proposal")</f>
        <v/>
      </c>
    </row>
    <row r="7">
      <c r="A7" s="2" t="inlineStr">
        <is>
          <t>Ask in play (Writing LOI + Writing proposal + Submitted)</t>
        </is>
      </c>
      <c r="B7" s="11">
        <f>SUMIF(Pipeline!$J$2:$J$200,"Writing LOI",Pipeline!$D$2:$D$200)+SUMIF(Pipeline!$J$2:$J$200,"Writing proposal",Pipeline!$D$2:$D$200)+SUMIF(Pipeline!$J$2:$J$200,"Submitted",Pipeline!$D$2:$D$200)</f>
        <v/>
      </c>
    </row>
    <row r="8">
      <c r="A8" s="2" t="inlineStr">
        <is>
          <t>Awarded this calendar year</t>
        </is>
      </c>
      <c r="B8" s="11">
        <f>SUMIFS(Pipeline!$N$2:$N$200,Pipeline!$O$2:$O$200,"&gt;="&amp;DATE(YEAR(TODAY()),1,1),Pipeline!$O$2:$O$200,"&lt;="&amp;TODAY())</f>
        <v/>
      </c>
    </row>
    <row r="10">
      <c r="A10" s="8" t="inlineStr">
        <is>
          <t>Monday habit (10 min): open this sheet first. The numbers tell you the week.</t>
        </is>
      </c>
    </row>
    <row r="11">
      <c r="A11" s="8" t="inlineStr">
        <is>
          <t>If your fiscal year is not the calendar year, copy the Awarded formula and swap</t>
        </is>
      </c>
    </row>
    <row r="12">
      <c r="A12" s="8" t="inlineStr">
        <is>
          <t>DATE(YEAR(TODAY()),1,1) for your FY start, e.g. DATE(YEAR(TODAY()),7,1) for July.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70" customWidth="1" min="4" max="4"/>
  </cols>
  <sheetData>
    <row r="1">
      <c r="A1" s="1" t="inlineStr">
        <is>
          <t>Date</t>
        </is>
      </c>
      <c r="B1" s="1" t="inlineStr">
        <is>
          <t>Funder / grant</t>
        </is>
      </c>
      <c r="C1" s="1" t="inlineStr">
        <is>
          <t>Event</t>
        </is>
      </c>
      <c r="D1" s="1" t="inlineStr">
        <is>
          <t>Note</t>
        </is>
      </c>
    </row>
    <row r="2">
      <c r="A2" s="12" t="n">
        <v>46289</v>
      </c>
      <c r="B2" t="inlineStr">
        <is>
          <t>County Arts Board — Arts-in-Education</t>
        </is>
      </c>
      <c r="C2" t="inlineStr">
        <is>
          <t>Passed (NO-GO, score 41)</t>
        </is>
      </c>
      <c r="D2" t="inlineStr">
        <is>
          <t>Deadline clashed with the Humanities proposal; withdrew politely and asked for the next cycle.</t>
        </is>
      </c>
    </row>
    <row r="3">
      <c r="A3" s="12" t="n">
        <v>46277</v>
      </c>
      <c r="B3" t="inlineStr">
        <is>
          <t>Feeler Family Trust</t>
        </is>
      </c>
      <c r="C3" t="inlineStr">
        <is>
          <t>Report + thank-you sent</t>
        </is>
      </c>
      <c r="D3" t="inlineStr">
        <is>
          <t>Printed report plus a handwritten note; renewal ask implied, amount unchanged.</t>
        </is>
      </c>
    </row>
    <row r="4">
      <c r="A4" s="12" t="n">
        <v>46267</v>
      </c>
      <c r="B4" t="inlineStr">
        <is>
          <t>Grant County Women's Fund</t>
        </is>
      </c>
      <c r="C4" t="inlineStr">
        <is>
          <t>Awarded $4,000</t>
        </is>
      </c>
      <c r="D4" t="inlineStr">
        <is>
          <t>Same-day thank-you email; board thanked the fund by name at the September meeting.</t>
        </is>
      </c>
    </row>
    <row r="6">
      <c r="A6" s="8" t="inlineStr">
        <is>
          <t>One row per real event: sent, awarded, declined, reported, passed. The Log is</t>
        </is>
      </c>
    </row>
    <row r="7">
      <c r="A7" s="8" t="inlineStr">
        <is>
          <t>what turns 'which grant paid for what' from a memory test into a lookup.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2026-09-25T14:34:29Z</dcterms:created>
  <dcterms:modified xmlns:dcterms="http://purl.org/dc/terms/" xmlns:xsi="http://www.w3.org/2001/XMLSchema-instance" xsi:type="dcterms:W3CDTF">2026-09-25T14:34:29Z</dcterms:modified>
</cp:coreProperties>
</file>