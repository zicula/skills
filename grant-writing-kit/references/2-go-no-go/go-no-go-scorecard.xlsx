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  <sheet xmlns:r="http://schemas.openxmlformats.org/officeDocument/2006/relationships" name="Gates" sheetId="2" state="visible" r:id="rId2"/>
    <sheet xmlns:r="http://schemas.openxmlformats.org/officeDocument/2006/relationships" name="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A6558"/>
    </font>
    <font>
      <b val="1"/>
    </font>
  </fonts>
  <fills count="4">
    <fill>
      <patternFill/>
    </fill>
    <fill>
      <patternFill patternType="gray125"/>
    </fill>
    <fill>
      <patternFill patternType="solid">
        <fgColor rgb="001F3A24"/>
      </patternFill>
    </fill>
    <fill>
      <patternFill patternType="solid">
        <fgColor rgb="00EDF3EE"/>
      </patternFill>
    </fill>
  </fills>
  <borders count="2">
    <border>
      <left/>
      <right/>
      <top/>
      <bottom/>
      <diagonal/>
    </border>
    <border>
      <bottom style="thin">
        <color rgb="00D8E2D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62" customWidth="1" min="3" max="3"/>
    <col width="9" customWidth="1" min="4" max="4"/>
    <col width="12" customWidth="1" min="5" max="5"/>
    <col width="14" customWidth="1" min="6" max="6"/>
    <col width="58" customWidth="1" min="7" max="7"/>
  </cols>
  <sheetData>
    <row r="1">
      <c r="A1" s="1" t="inlineStr">
        <is>
          <t>#</t>
        </is>
      </c>
      <c r="B1" s="1" t="inlineStr">
        <is>
          <t>Group</t>
        </is>
      </c>
      <c r="C1" s="1" t="inlineStr">
        <is>
          <t>Criterion</t>
        </is>
      </c>
      <c r="D1" s="1" t="inlineStr">
        <is>
          <t>Weight</t>
        </is>
      </c>
      <c r="E1" s="1" t="inlineStr">
        <is>
          <t>Score (0-4)</t>
        </is>
      </c>
      <c r="F1" s="1" t="inlineStr">
        <is>
          <t>Weighted (auto)</t>
        </is>
      </c>
      <c r="G1" s="1" t="inlineStr">
        <is>
          <t>Evidence / notes</t>
        </is>
      </c>
    </row>
    <row r="2">
      <c r="A2" s="2" t="n">
        <v>1</v>
      </c>
      <c r="B2" s="2" t="inlineStr">
        <is>
          <t>Fit</t>
        </is>
      </c>
      <c r="C2" s="2" t="inlineStr">
        <is>
          <t>Mission fit — the ask sits inside our mission statement as written</t>
        </is>
      </c>
      <c r="D2" s="2" t="n">
        <v>8</v>
      </c>
      <c r="E2" s="2" t="n">
        <v>4</v>
      </c>
      <c r="F2" s="2">
        <f>D2*E2/4</f>
        <v/>
      </c>
      <c r="G2" s="3" t="inlineStr">
        <is>
          <t>general operating is the foundation's stated first priority — mission quote in boilerplate</t>
        </is>
      </c>
    </row>
    <row r="3">
      <c r="A3" s="4" t="n">
        <v>2</v>
      </c>
      <c r="B3" s="4" t="inlineStr">
        <is>
          <t>Fit</t>
        </is>
      </c>
      <c r="C3" s="4" t="inlineStr">
        <is>
          <t>Population — the people we serve match the funder's stated priorities</t>
        </is>
      </c>
      <c r="D3" s="4" t="n">
        <v>8</v>
      </c>
      <c r="E3" s="4" t="n">
        <v>3</v>
      </c>
      <c r="F3" s="4">
        <f>D3*E3/4</f>
        <v/>
      </c>
      <c r="G3" s="5" t="inlineStr">
        <is>
          <t>adult literacy named explicitly in their education focus area (p.2 of guidelines)</t>
        </is>
      </c>
    </row>
    <row r="4">
      <c r="A4" s="4" t="n">
        <v>3</v>
      </c>
      <c r="B4" s="4" t="inlineStr">
        <is>
          <t>Fit</t>
        </is>
      </c>
      <c r="C4" s="4" t="inlineStr">
        <is>
          <t>Use of funds — the money lands on a real line of our budget, not a vague idea</t>
        </is>
      </c>
      <c r="D4" s="4" t="n">
        <v>8</v>
      </c>
      <c r="E4" s="4" t="n">
        <v>4</v>
      </c>
      <c r="F4" s="4">
        <f>D4*E4/4</f>
        <v/>
      </c>
      <c r="G4" s="5" t="inlineStr">
        <is>
          <t>money would hold the instructor line while state funds wobble — real line, real risk</t>
        </is>
      </c>
    </row>
    <row r="5">
      <c r="A5" s="4" t="n">
        <v>4</v>
      </c>
      <c r="B5" s="4" t="inlineStr">
        <is>
          <t>Fit</t>
        </is>
      </c>
      <c r="C5" s="4" t="inlineStr">
        <is>
          <t>Language and values — their guidelines describe work we recognize as ours</t>
        </is>
      </c>
      <c r="D5" s="4" t="n">
        <v>6</v>
      </c>
      <c r="E5" s="4" t="n">
        <v>3</v>
      </c>
      <c r="F5" s="4">
        <f>D5*E5/4</f>
        <v/>
      </c>
      <c r="G5" s="5" t="inlineStr">
        <is>
          <t>their language: 'reading is infrastructure' — we already say this in the one-pager</t>
        </is>
      </c>
    </row>
    <row r="6">
      <c r="A6" s="2" t="n">
        <v>5</v>
      </c>
      <c r="B6" s="2" t="inlineStr">
        <is>
          <t>Access</t>
        </is>
      </c>
      <c r="C6" s="2" t="inlineStr">
        <is>
          <t>Eligibility — we pass every stated eligibility rule today</t>
        </is>
      </c>
      <c r="D6" s="2" t="n">
        <v>8</v>
      </c>
      <c r="E6" s="2" t="n">
        <v>4</v>
      </c>
      <c r="F6" s="2">
        <f>D6*E6/4</f>
        <v/>
      </c>
      <c r="G6" s="3" t="inlineStr">
        <is>
          <t>501(c)(3) current; budget under $1M — both evidenced in the checklist file</t>
        </is>
      </c>
    </row>
    <row r="7">
      <c r="A7" s="4" t="n">
        <v>6</v>
      </c>
      <c r="B7" s="4" t="inlineStr">
        <is>
          <t>Access</t>
        </is>
      </c>
      <c r="C7" s="4" t="inlineStr">
        <is>
          <t>Geography — our service area sits inside the funded region</t>
        </is>
      </c>
      <c r="D7" s="4" t="n">
        <v>6</v>
      </c>
      <c r="E7" s="4" t="n">
        <v>3</v>
      </c>
      <c r="F7" s="4">
        <f>D7*E7/4</f>
        <v/>
      </c>
      <c r="G7" s="5" t="inlineStr">
        <is>
          <t>we serve Riverbend County; the foundation funds three counties including ours</t>
        </is>
      </c>
    </row>
    <row r="8">
      <c r="A8" s="4" t="n">
        <v>7</v>
      </c>
      <c r="B8" s="4" t="inlineStr">
        <is>
          <t>Access</t>
        </is>
      </c>
      <c r="C8" s="4" t="inlineStr">
        <is>
          <t>Org size — our budget and staff sit inside their typical grantee window</t>
        </is>
      </c>
      <c r="D8" s="4" t="n">
        <v>6</v>
      </c>
      <c r="E8" s="4" t="n">
        <v>2</v>
      </c>
      <c r="F8" s="4">
        <f>D8*E8/4</f>
        <v/>
      </c>
      <c r="G8" s="5" t="inlineStr">
        <is>
          <t>typical GOS grantees run $150K-$1M budgets — we sit mid-window at $310K</t>
        </is>
      </c>
    </row>
    <row r="9">
      <c r="A9" s="4" t="n">
        <v>8</v>
      </c>
      <c r="B9" s="4" t="inlineStr">
        <is>
          <t>Access</t>
        </is>
      </c>
      <c r="C9" s="4" t="inlineStr">
        <is>
          <t>Relationship — a real contact exists, or we can credibly create one</t>
        </is>
      </c>
      <c r="D9" s="4" t="n">
        <v>6</v>
      </c>
      <c r="E9" s="4" t="n">
        <v>2</v>
      </c>
      <c r="F9" s="4">
        <f>D9*E9/4</f>
        <v/>
      </c>
      <c r="G9" s="5" t="inlineStr">
        <is>
          <t>board chair knows a program officer; no meeting booked yet — that is why 2, not 4</t>
        </is>
      </c>
    </row>
    <row r="10">
      <c r="A10" s="4" t="n">
        <v>9</v>
      </c>
      <c r="B10" s="4" t="inlineStr">
        <is>
          <t>Access</t>
        </is>
      </c>
      <c r="C10" s="4" t="inlineStr">
        <is>
          <t>Exclusions — nothing in their exclusions list covers our work</t>
        </is>
      </c>
      <c r="D10" s="4" t="n">
        <v>8</v>
      </c>
      <c r="E10" s="4" t="n">
        <v>4</v>
      </c>
      <c r="F10" s="4">
        <f>D10*E10/4</f>
        <v/>
      </c>
      <c r="G10" s="5" t="inlineStr">
        <is>
          <t>no exclusions touch adult education or GOS</t>
        </is>
      </c>
    </row>
    <row r="11">
      <c r="A11" s="2" t="n">
        <v>10</v>
      </c>
      <c r="B11" s="2" t="inlineStr">
        <is>
          <t>History</t>
        </is>
      </c>
      <c r="C11" s="2" t="inlineStr">
        <is>
          <t>Track record — they funded organizations like ours in the last 3 years</t>
        </is>
      </c>
      <c r="D11" s="2" t="n">
        <v>6</v>
      </c>
      <c r="E11" s="2" t="n">
        <v>2</v>
      </c>
      <c r="F11" s="2">
        <f>D11*E11/4</f>
        <v/>
      </c>
      <c r="G11" s="3" t="inlineStr">
        <is>
          <t>grantee list 2024-2026 shows two literacy orgs our size</t>
        </is>
      </c>
    </row>
    <row r="12">
      <c r="A12" s="4" t="n">
        <v>11</v>
      </c>
      <c r="B12" s="4" t="inlineStr">
        <is>
          <t>History</t>
        </is>
      </c>
      <c r="C12" s="4" t="inlineStr">
        <is>
          <t>Award size — typical awards match the ask we can defend</t>
        </is>
      </c>
      <c r="D12" s="4" t="n">
        <v>4</v>
      </c>
      <c r="E12" s="4" t="n">
        <v>2</v>
      </c>
      <c r="F12" s="4">
        <f>D12*E12/4</f>
        <v/>
      </c>
      <c r="G12" s="5" t="inlineStr">
        <is>
          <t>typical awards $10K-$25K; our $15K ask sits mid-band</t>
        </is>
      </c>
    </row>
    <row r="13">
      <c r="A13" s="4" t="n">
        <v>12</v>
      </c>
      <c r="B13" s="4" t="inlineStr">
        <is>
          <t>History</t>
        </is>
      </c>
      <c r="C13" s="4" t="inlineStr">
        <is>
          <t>Renewal culture — grantees visibly get renewed, not one-shot</t>
        </is>
      </c>
      <c r="D13" s="4" t="n">
        <v>6</v>
      </c>
      <c r="E13" s="4" t="n">
        <v>3</v>
      </c>
      <c r="F13" s="4">
        <f>D13*E13/4</f>
        <v/>
      </c>
      <c r="G13" s="5" t="inlineStr">
        <is>
          <t>the same orgs appear in the 2024, 2025 and 2026 grantee lists</t>
        </is>
      </c>
    </row>
    <row r="14">
      <c r="A14" s="2" t="n">
        <v>13</v>
      </c>
      <c r="B14" s="2" t="inlineStr">
        <is>
          <t>Capacity</t>
        </is>
      </c>
      <c r="C14" s="2" t="inlineStr">
        <is>
          <t>Hours — the writing hours actually exist before the deadline</t>
        </is>
      </c>
      <c r="D14" s="2" t="n">
        <v>8</v>
      </c>
      <c r="E14" s="2" t="n">
        <v>3</v>
      </c>
      <c r="F14" s="2">
        <f>D14*E14/4</f>
        <v/>
      </c>
      <c r="G14" s="3" t="inlineStr">
        <is>
          <t>LOI needs ~8 focused hours; this week has 11 real ones on the calendar</t>
        </is>
      </c>
    </row>
    <row r="15">
      <c r="A15" s="4" t="n">
        <v>14</v>
      </c>
      <c r="B15" s="4" t="inlineStr">
        <is>
          <t>Capacity</t>
        </is>
      </c>
      <c r="C15" s="4" t="inlineStr">
        <is>
          <t>Materials — the boilerplate library has the pieces this application needs</t>
        </is>
      </c>
      <c r="D15" s="4" t="n">
        <v>6</v>
      </c>
      <c r="E15" s="4" t="n">
        <v>2</v>
      </c>
      <c r="F15" s="4">
        <f>D15*E15/4</f>
        <v/>
      </c>
      <c r="G15" s="5" t="inlineStr">
        <is>
          <t>mission one-pager, impact metrics and board list are current in 4-boilerplate/</t>
        </is>
      </c>
    </row>
    <row r="16">
      <c r="A16" s="4" t="n">
        <v>15</v>
      </c>
      <c r="B16" s="4" t="inlineStr">
        <is>
          <t>Capacity</t>
        </is>
      </c>
      <c r="C16" s="4" t="inlineStr">
        <is>
          <t>Match — any match or cost-share requirement is handleable with real sources</t>
        </is>
      </c>
      <c r="D16" s="4" t="n">
        <v>6</v>
      </c>
      <c r="E16" s="4" t="n">
        <v>3</v>
      </c>
      <c r="F16" s="4">
        <f>D16*E16/4</f>
        <v/>
      </c>
      <c r="G16" s="5" t="inlineStr">
        <is>
          <t>no match required for GOS — but the checklist row is filled in case rules change</t>
        </is>
      </c>
    </row>
    <row r="17">
      <c r="C17" s="6" t="inlineStr">
        <is>
          <t>TOTAL (out of 100)</t>
        </is>
      </c>
      <c r="D17" s="6">
        <f>SUM(D2:D16)</f>
        <v/>
      </c>
      <c r="F17" s="6">
        <f>SUM(F2:F16)</f>
        <v/>
      </c>
    </row>
    <row r="18">
      <c r="C18" s="6" t="inlineStr">
        <is>
          <t>VERDICT</t>
        </is>
      </c>
      <c r="F18" s="6">
        <f>IF(COUNTIF(Gates!C2:C7,"No")&gt;0,"WAIT — a gate is not met",IF(F17&gt;=70,"GO — commit the hours",IF(F17&gt;=50,"CONDITIONAL — fix low scorers first","NO-GO — pass this round")))</f>
        <v/>
      </c>
    </row>
    <row r="20">
      <c r="C20" s="7" t="inlineStr">
        <is>
          <t>Scores: 4 = true and evidenced · 3 = small gap, closable in days · 2 = partly true ·</t>
        </is>
      </c>
    </row>
    <row r="21">
      <c r="C21" s="7" t="inlineStr">
        <is>
          <t>1 = a stretch · 0 = false today. No evidence named? Score at most 2. Full rules in</t>
        </is>
      </c>
    </row>
    <row r="22">
      <c r="C22" s="7" t="inlineStr">
        <is>
          <t>go-no-go-guide.md. Italic notes are the worked example — overwrite with your evidence.</t>
        </is>
      </c>
    </row>
  </sheetData>
  <dataValidations count="1">
    <dataValidation sqref="E2:E16" showDropDown="0" showInputMessage="0" showErrorMessage="1" allowBlank="1" error="Scores are 0-4. No evidence for a higher score? Use 2." type="whole" operator="between">
      <formula1>0</formula1>
      <formula2>4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4" customWidth="1" min="2" max="2"/>
    <col width="66" customWidth="1" min="3" max="3"/>
  </cols>
  <sheetData>
    <row r="1">
      <c r="A1" s="1" t="inlineStr">
        <is>
          <t>Gate</t>
        </is>
      </c>
      <c r="B1" s="1" t="inlineStr">
        <is>
          <t>Met? (Yes/No)</t>
        </is>
      </c>
      <c r="C1" s="1" t="inlineStr">
        <is>
          <t>Evidence / what closes it</t>
        </is>
      </c>
    </row>
    <row r="2">
      <c r="A2" s="4" t="inlineStr">
        <is>
          <t>Eligibility certified — every stated eligibility rule is met, with evidence</t>
        </is>
      </c>
      <c r="B2" s="4" t="inlineStr">
        <is>
          <t>Yes</t>
        </is>
      </c>
      <c r="C2" s="5" t="inlineStr">
        <is>
          <t>501(c)(3) letter + budget page scanned into the checklist file</t>
        </is>
      </c>
    </row>
    <row r="3">
      <c r="A3" s="4" t="inlineStr">
        <is>
          <t>Geography and size — service area and org budget sit inside the funder's window</t>
        </is>
      </c>
      <c r="B3" s="4" t="inlineStr">
        <is>
          <t>Yes</t>
        </is>
      </c>
      <c r="C3" s="5" t="inlineStr">
        <is>
          <t>$310K budget, inside the under-$1M window</t>
        </is>
      </c>
    </row>
    <row r="4">
      <c r="A4" s="4" t="inlineStr">
        <is>
          <t>Deadline feasible — a complete, honest application is producible by the deadline</t>
        </is>
      </c>
      <c r="B4" s="4" t="inlineStr">
        <is>
          <t>No</t>
        </is>
      </c>
      <c r="C4" s="5" t="inlineStr">
        <is>
          <t>Worked example: board meets Thursday 9/29 to sign the budget numbers the LOI cites. Flip to Yes after the vote and watch the verdict change.</t>
        </is>
      </c>
    </row>
    <row r="5">
      <c r="A5" s="4" t="inlineStr">
        <is>
          <t>Money real — the ask lands on a real budget line we can stretch or staff</t>
        </is>
      </c>
      <c r="B5" s="4" t="inlineStr">
        <is>
          <t>Yes</t>
        </is>
      </c>
      <c r="C5" s="5" t="inlineStr">
        <is>
          <t>instructor line, $4,230 — see 7-budget worked example</t>
        </is>
      </c>
    </row>
    <row r="6">
      <c r="A6" s="4" t="inlineStr">
        <is>
          <t>Match covered — if match or cost share is required, sources are confirmed in writing</t>
        </is>
      </c>
      <c r="B6" s="4" t="inlineStr">
        <is>
          <t>Yes</t>
        </is>
      </c>
      <c r="C6" s="5" t="inlineStr">
        <is>
          <t>no match required for this program; library space letter on file anyway</t>
        </is>
      </c>
    </row>
    <row r="7">
      <c r="A7" s="4" t="inlineStr">
        <is>
          <t>Owner named — one person owns this application end to end</t>
        </is>
      </c>
      <c r="B7" s="4" t="inlineStr">
        <is>
          <t>Yes</t>
        </is>
      </c>
      <c r="C7" s="5" t="inlineStr">
        <is>
          <t>Maya R. (ED) — named in the tracker row G-001</t>
        </is>
      </c>
    </row>
    <row r="9">
      <c r="A9" s="7" t="inlineStr">
        <is>
          <t>One No anywhere holds the verdict at WAIT, whatever the score says.</t>
        </is>
      </c>
    </row>
    <row r="10">
      <c r="A10" s="7" t="inlineStr">
        <is>
          <t>The worked example ships with gate 3 = No on purpose — see SETUP.md Step 6.</t>
        </is>
      </c>
    </row>
  </sheetData>
  <dataValidations count="1">
    <dataValidation sqref="B2:B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9" customWidth="1" min="3" max="3"/>
    <col width="18" customWidth="1" min="4" max="4"/>
    <col width="70" customWidth="1" min="5" max="5"/>
  </cols>
  <sheetData>
    <row r="1">
      <c r="A1" s="1" t="inlineStr">
        <is>
          <t>Date</t>
        </is>
      </c>
      <c r="B1" s="1" t="inlineStr">
        <is>
          <t>Funder / grant</t>
        </is>
      </c>
      <c r="C1" s="1" t="inlineStr">
        <is>
          <t>TOTAL</t>
        </is>
      </c>
      <c r="D1" s="1" t="inlineStr">
        <is>
          <t>Gates</t>
        </is>
      </c>
      <c r="E1" s="1" t="inlineStr">
        <is>
          <t>One honest sentence</t>
        </is>
      </c>
    </row>
    <row r="2">
      <c r="A2" s="8" t="n">
        <v>46288</v>
      </c>
      <c r="B2" t="inlineStr">
        <is>
          <t>Riverbend Community Foundation — GOS</t>
        </is>
      </c>
      <c r="C2" t="n">
        <v>76</v>
      </c>
      <c r="D2" t="inlineStr">
        <is>
          <t>gate 3 not met</t>
        </is>
      </c>
      <c r="E2" t="inlineStr">
        <is>
          <t>WAIT — decide after Thursday's board vote; everything else is strong</t>
        </is>
      </c>
    </row>
    <row r="3">
      <c r="A3" s="8" t="n">
        <v>46287</v>
      </c>
      <c r="B3" t="inlineStr">
        <is>
          <t>State Humanities Council — Cultural Programs</t>
        </is>
      </c>
      <c r="C3" t="n">
        <v>61</v>
      </c>
      <c r="D3" t="inlineStr">
        <is>
          <t>all met</t>
        </is>
      </c>
      <c r="E3" t="inlineStr">
        <is>
          <t>CONDITIONAL — bid only if the LOI week stays light; re-score 10/5</t>
        </is>
      </c>
    </row>
    <row r="4">
      <c r="A4" s="8" t="n">
        <v>46285</v>
      </c>
      <c r="B4" t="inlineStr">
        <is>
          <t>County Arts Board — Arts-in-Education</t>
        </is>
      </c>
      <c r="C4" t="n">
        <v>41</v>
      </c>
      <c r="D4" t="inlineStr">
        <is>
          <t>all met</t>
        </is>
      </c>
      <c r="E4" t="inlineStr">
        <is>
          <t>NO-GO — real program, but the evaluation burden exceeds this year's capacity</t>
        </is>
      </c>
    </row>
    <row r="6">
      <c r="A6" s="7" t="inlineStr">
        <is>
          <t>Log every score, including the passes. Passes are decisions, and decisions compound.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2026-09-25T14:34:29Z</dcterms:created>
  <dcterms:modified xmlns:dcterms="http://purl.org/dc/terms/" xmlns:xsi="http://www.w3.org/2001/XMLSchema-instance" xsi:type="dcterms:W3CDTF">2026-09-25T14:34:29Z</dcterms:modified>
</cp:coreProperties>
</file>