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A6558"/>
    </font>
    <font>
      <b val="1"/>
    </font>
  </fonts>
  <fills count="4">
    <fill>
      <patternFill/>
    </fill>
    <fill>
      <patternFill patternType="gray125"/>
    </fill>
    <fill>
      <patternFill patternType="solid">
        <fgColor rgb="001F3A24"/>
      </patternFill>
    </fill>
    <fill>
      <patternFill patternType="solid">
        <fgColor rgb="00EDF3EE"/>
      </patternFill>
    </fill>
  </fills>
  <borders count="2">
    <border>
      <left/>
      <right/>
      <top/>
      <bottom/>
      <diagonal/>
    </border>
    <border>
      <bottom style="thin">
        <color rgb="00D8E2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0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3" fontId="0" fillId="3" borderId="1" pivotButton="0" quotePrefix="0" xfId="0"/>
    <xf numFmtId="3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7" customWidth="1" min="3" max="3"/>
    <col width="20" customWidth="1" min="4" max="4"/>
    <col width="13" customWidth="1" min="5" max="5"/>
    <col width="42" customWidth="1" min="6" max="6"/>
    <col width="34" customWidth="1" min="7" max="7"/>
  </cols>
  <sheetData>
    <row r="1">
      <c r="A1" s="1" t="inlineStr">
        <is>
          <t>Category</t>
        </is>
      </c>
      <c r="B1" s="1" t="inlineStr">
        <is>
          <t>Line item</t>
        </is>
      </c>
      <c r="C1" s="1" t="inlineStr">
        <is>
          <t>Funder request ($)</t>
        </is>
      </c>
      <c r="D1" s="1" t="inlineStr">
        <is>
          <t>Match / other source ($)</t>
        </is>
      </c>
      <c r="E1" s="1" t="inlineStr">
        <is>
          <t>Total cost ($)</t>
        </is>
      </c>
      <c r="F1" s="1" t="inlineStr">
        <is>
          <t>Basis for the number</t>
        </is>
      </c>
      <c r="G1" s="1" t="inlineStr">
        <is>
          <t>Notes</t>
        </is>
      </c>
    </row>
    <row r="2">
      <c r="A2" s="2" t="inlineStr">
        <is>
          <t>Personnel</t>
        </is>
      </c>
      <c r="B2" s="2" t="inlineStr">
        <is>
          <t>Part-time ESL instructor — 6 h/wk x 30 wks x $23.50</t>
        </is>
      </c>
      <c r="C2" s="3" t="n">
        <v>4230</v>
      </c>
      <c r="D2" s="3" t="n">
        <v>0</v>
      </c>
      <c r="E2" s="3">
        <f>IF(AND(C2="",D2=""),"",C2+D2)</f>
        <v/>
      </c>
      <c r="F2" s="2" t="inlineStr">
        <is>
          <t>6 x 30 x 23.50; rate from FY26 payroll</t>
        </is>
      </c>
      <c r="G2" s="4" t="inlineStr">
        <is>
          <t>new evening class, level 1-2</t>
        </is>
      </c>
    </row>
    <row r="3">
      <c r="A3" s="2" t="inlineStr">
        <is>
          <t>Personnel</t>
        </is>
      </c>
      <c r="B3" s="2" t="inlineStr">
        <is>
          <t>Program coordinator oversight — 2 h/wk x 30 wks x $28.00</t>
        </is>
      </c>
      <c r="C3" s="3" t="n">
        <v>1680</v>
      </c>
      <c r="D3" s="3" t="n">
        <v>0</v>
      </c>
      <c r="E3" s="3">
        <f>IF(AND(C3="",D3=""),"",C3+D3)</f>
        <v/>
      </c>
      <c r="F3" s="2" t="inlineStr">
        <is>
          <t>existing staff, hours reallocated</t>
        </is>
      </c>
      <c r="G3" s="4" t="inlineStr">
        <is>
          <t>supervision + intake screening</t>
        </is>
      </c>
    </row>
    <row r="4">
      <c r="A4" s="2" t="inlineStr">
        <is>
          <t>Fringe benefits</t>
        </is>
      </c>
      <c r="B4" s="2" t="inlineStr">
        <is>
          <t>Fringe on personnel (10%)</t>
        </is>
      </c>
      <c r="C4" s="3" t="n">
        <v>591</v>
      </c>
      <c r="D4" s="3" t="n">
        <v>0</v>
      </c>
      <c r="E4" s="3">
        <f>IF(AND(C4="",D4=""),"",C4+D4)</f>
        <v/>
      </c>
      <c r="F4" s="2" t="inlineStr">
        <is>
          <t>org's actual loaded rate for part-time staff</t>
        </is>
      </c>
      <c r="G4" s="4" t="inlineStr">
        <is>
          <t>verify against payroll report</t>
        </is>
      </c>
    </row>
    <row r="5">
      <c r="A5" s="2" t="inlineStr">
        <is>
          <t>Travel</t>
        </is>
      </c>
      <c r="B5" s="2" t="inlineStr">
        <is>
          <t>Tutor mileage to two satellite sites — 450 mi x $0.40</t>
        </is>
      </c>
      <c r="C5" s="3" t="n">
        <v>180</v>
      </c>
      <c r="D5" s="3" t="n">
        <v>0</v>
      </c>
      <c r="E5" s="3">
        <f>IF(AND(C5="",D5=""),"",C5+D5)</f>
        <v/>
      </c>
      <c r="F5" s="2" t="inlineStr">
        <is>
          <t>FY25 mileage log, same sites</t>
        </is>
      </c>
      <c r="G5" s="4" t="inlineStr">
        <is>
          <t>monthly log, receipt-backed</t>
        </is>
      </c>
    </row>
    <row r="6">
      <c r="A6" s="2" t="inlineStr">
        <is>
          <t>Supplies</t>
        </is>
      </c>
      <c r="B6" s="2" t="inlineStr">
        <is>
          <t>Student workbooks — 60 learners x $22</t>
        </is>
      </c>
      <c r="C6" s="3" t="n">
        <v>1320</v>
      </c>
      <c r="D6" s="3" t="n">
        <v>0</v>
      </c>
      <c r="E6" s="3">
        <f>IF(AND(C6="",D6=""),"",C6+D6)</f>
        <v/>
      </c>
      <c r="F6" s="2" t="inlineStr">
        <is>
          <t>vendor quote 2026-08</t>
        </is>
      </c>
      <c r="G6" s="4" t="inlineStr">
        <is>
          <t>level 1 and 2 sets</t>
        </is>
      </c>
    </row>
    <row r="7">
      <c r="A7" s="2" t="inlineStr">
        <is>
          <t>Supplies</t>
        </is>
      </c>
      <c r="B7" s="2" t="inlineStr">
        <is>
          <t>Placement assessment licenses — 60 x $5.70</t>
        </is>
      </c>
      <c r="C7" s="3" t="n">
        <v>342</v>
      </c>
      <c r="D7" s="3" t="n">
        <v>0</v>
      </c>
      <c r="E7" s="3">
        <f>IF(AND(C7="",D7=""),"",C7+D7)</f>
        <v/>
      </c>
      <c r="F7" s="2" t="inlineStr">
        <is>
          <t>vendor quote 2026-08</t>
        </is>
      </c>
      <c r="G7" s="4" t="inlineStr">
        <is>
          <t>pre/post assessment</t>
        </is>
      </c>
    </row>
    <row r="8">
      <c r="A8" s="2" t="inlineStr">
        <is>
          <t>Contractual</t>
        </is>
      </c>
      <c r="B8" s="2" t="inlineStr">
        <is>
          <t>Independent program evaluator — end-of-year report</t>
        </is>
      </c>
      <c r="C8" s="3" t="n">
        <v>1500</v>
      </c>
      <c r="D8" s="3" t="n">
        <v>0</v>
      </c>
      <c r="E8" s="3">
        <f>IF(AND(C8="",D8=""),"",C8+D8)</f>
        <v/>
      </c>
      <c r="F8" s="2" t="inlineStr">
        <is>
          <t>fixed-fee quote, evaluator used FY25</t>
        </is>
      </c>
      <c r="G8" s="4" t="inlineStr">
        <is>
          <t>deliverable: learner-outcome report</t>
        </is>
      </c>
    </row>
    <row r="9">
      <c r="A9" s="2" t="inlineStr">
        <is>
          <t>Other direct</t>
        </is>
      </c>
      <c r="B9" s="2" t="inlineStr">
        <is>
          <t>Class materials translated into 3 languages</t>
        </is>
      </c>
      <c r="C9" s="3" t="n">
        <v>420</v>
      </c>
      <c r="D9" s="3" t="n">
        <v>0</v>
      </c>
      <c r="E9" s="3">
        <f>IF(AND(C9="",D9=""),"",C9+D9)</f>
        <v/>
      </c>
      <c r="F9" s="2" t="inlineStr">
        <is>
          <t>translation service quote 2026-09</t>
        </is>
      </c>
      <c r="G9" s="4" t="inlineStr">
        <is>
          <t>intake + safety forms</t>
        </is>
      </c>
    </row>
    <row r="10">
      <c r="A10" s="2" t="inlineStr">
        <is>
          <t>Other direct</t>
        </is>
      </c>
      <c r="B10" s="2" t="inlineStr">
        <is>
          <t>Classroom printing and copying</t>
        </is>
      </c>
      <c r="C10" s="3" t="n">
        <v>210</v>
      </c>
      <c r="D10" s="3" t="n">
        <v>0</v>
      </c>
      <c r="E10" s="3">
        <f>IF(AND(C10="",D10=""),"",C10+D10)</f>
        <v/>
      </c>
      <c r="F10" s="2" t="inlineStr">
        <is>
          <t>print-shop estimate</t>
        </is>
      </c>
      <c r="G10" s="4" t="inlineStr">
        <is>
          <t>workshop handouts</t>
        </is>
      </c>
    </row>
    <row r="11">
      <c r="A11" s="2" t="inlineStr">
        <is>
          <t>Indirect</t>
        </is>
      </c>
      <c r="B11" s="2" t="inlineStr">
        <is>
          <t>Indirect costs</t>
        </is>
      </c>
      <c r="C11" s="3" t="n">
        <v>0</v>
      </c>
      <c r="D11" s="3" t="n">
        <v>0</v>
      </c>
      <c r="E11" s="3">
        <f>IF(AND(C11="",D11=""),"",C11+D11)</f>
        <v/>
      </c>
      <c r="F11" s="2" t="inlineStr">
        <is>
          <t>guidelines cap at 0% — copied verbatim into the Checklist sheet</t>
        </is>
      </c>
      <c r="G11" s="4" t="inlineStr">
        <is>
          <t>if the cap changes, change this row AND the narrative</t>
        </is>
      </c>
    </row>
    <row r="12">
      <c r="A12" s="2" t="inlineStr">
        <is>
          <t>Match / other</t>
        </is>
      </c>
      <c r="B12" s="2" t="inlineStr">
        <is>
          <t>Classroom space — library partner, both satellite sites</t>
        </is>
      </c>
      <c r="C12" s="3" t="n">
        <v>0</v>
      </c>
      <c r="D12" s="3" t="n">
        <v>600</v>
      </c>
      <c r="E12" s="3">
        <f>IF(AND(C12="",D12=""),"",C12+D12)</f>
        <v/>
      </c>
      <c r="F12" s="2" t="inlineStr">
        <is>
          <t>partnership letter on file, valued at market rate</t>
        </is>
      </c>
      <c r="G12" s="4" t="inlineStr">
        <is>
          <t>letter names the rooms and the hours</t>
        </is>
      </c>
    </row>
    <row r="13">
      <c r="E13" s="5">
        <f>IF(AND(C13="",D13=""),"",C13+D13)</f>
        <v/>
      </c>
    </row>
    <row r="14">
      <c r="E14" s="5">
        <f>IF(AND(C14="",D14=""),"",C14+D14)</f>
        <v/>
      </c>
    </row>
    <row r="15">
      <c r="E15" s="5">
        <f>IF(AND(C15="",D15=""),"",C15+D15)</f>
        <v/>
      </c>
    </row>
    <row r="16">
      <c r="E16" s="5">
        <f>IF(AND(C16="",D16=""),"",C16+D16)</f>
        <v/>
      </c>
    </row>
    <row r="17">
      <c r="E17" s="5">
        <f>IF(AND(C17="",D17=""),"",C17+D17)</f>
        <v/>
      </c>
    </row>
    <row r="18">
      <c r="E18" s="5">
        <f>IF(AND(C18="",D18=""),"",C18+D18)</f>
        <v/>
      </c>
    </row>
    <row r="19">
      <c r="E19" s="5">
        <f>IF(AND(C19="",D19=""),"",C19+D19)</f>
        <v/>
      </c>
    </row>
    <row r="20">
      <c r="E20" s="5">
        <f>IF(AND(C20="",D20=""),"",C20+D20)</f>
        <v/>
      </c>
    </row>
    <row r="21">
      <c r="E21" s="5">
        <f>IF(AND(C21="",D21=""),"",C21+D21)</f>
        <v/>
      </c>
    </row>
    <row r="22">
      <c r="E22" s="5">
        <f>IF(AND(C22="",D22=""),"",C22+D22)</f>
        <v/>
      </c>
    </row>
    <row r="23">
      <c r="E23" s="5">
        <f>IF(AND(C23="",D23=""),"",C23+D23)</f>
        <v/>
      </c>
    </row>
    <row r="24">
      <c r="E24" s="5">
        <f>IF(AND(C24="",D24=""),"",C24+D24)</f>
        <v/>
      </c>
    </row>
    <row r="25">
      <c r="E25" s="5">
        <f>IF(AND(C25="",D25=""),"",C25+D25)</f>
        <v/>
      </c>
    </row>
    <row r="26">
      <c r="E26" s="5">
        <f>IF(AND(C26="",D26=""),"",C26+D26)</f>
        <v/>
      </c>
    </row>
    <row r="27">
      <c r="E27" s="5">
        <f>IF(AND(C27="",D27=""),"",C27+D27)</f>
        <v/>
      </c>
    </row>
    <row r="28">
      <c r="E28" s="5">
        <f>IF(AND(C28="",D28=""),"",C28+D28)</f>
        <v/>
      </c>
    </row>
    <row r="29">
      <c r="E29" s="5">
        <f>IF(AND(C29="",D29=""),"",C29+D29)</f>
        <v/>
      </c>
    </row>
    <row r="30">
      <c r="E30" s="5">
        <f>IF(AND(C30="",D30=""),"",C30+D30)</f>
        <v/>
      </c>
    </row>
    <row r="31">
      <c r="E31" s="5">
        <f>IF(AND(C31="",D31=""),"",C31+D31)</f>
        <v/>
      </c>
    </row>
    <row r="33">
      <c r="A33" s="6" t="inlineStr">
        <is>
          <t>Subtotals (auto)</t>
        </is>
      </c>
    </row>
    <row r="34">
      <c r="A34" s="7" t="inlineStr">
        <is>
          <t>Personnel</t>
        </is>
      </c>
      <c r="B34" s="7" t="n"/>
      <c r="C34" s="8">
        <f>SUMIF($A$2:$A$31,"Personnel",C$2:C$31)</f>
        <v/>
      </c>
      <c r="D34" s="8">
        <f>SUMIF($A$2:$A$31,"Personnel",D$2:D$31)</f>
        <v/>
      </c>
      <c r="E34" s="8">
        <f>SUMIF($A$2:$A$31,"Personnel",E$2:E$31)</f>
        <v/>
      </c>
    </row>
    <row r="35">
      <c r="A35" s="7" t="inlineStr">
        <is>
          <t>Fringe benefits</t>
        </is>
      </c>
      <c r="B35" s="7" t="n"/>
      <c r="C35" s="8">
        <f>SUMIF($A$2:$A$31,"Fringe benefits",C$2:C$31)</f>
        <v/>
      </c>
      <c r="D35" s="8">
        <f>SUMIF($A$2:$A$31,"Fringe benefits",D$2:D$31)</f>
        <v/>
      </c>
      <c r="E35" s="8">
        <f>SUMIF($A$2:$A$31,"Fringe benefits",E$2:E$31)</f>
        <v/>
      </c>
    </row>
    <row r="36">
      <c r="A36" s="7" t="inlineStr">
        <is>
          <t>Travel</t>
        </is>
      </c>
      <c r="B36" s="7" t="n"/>
      <c r="C36" s="8">
        <f>SUMIF($A$2:$A$31,"Travel",C$2:C$31)</f>
        <v/>
      </c>
      <c r="D36" s="8">
        <f>SUMIF($A$2:$A$31,"Travel",D$2:D$31)</f>
        <v/>
      </c>
      <c r="E36" s="8">
        <f>SUMIF($A$2:$A$31,"Travel",E$2:E$31)</f>
        <v/>
      </c>
    </row>
    <row r="37">
      <c r="A37" s="7" t="inlineStr">
        <is>
          <t>Supplies</t>
        </is>
      </c>
      <c r="B37" s="7" t="n"/>
      <c r="C37" s="8">
        <f>SUMIF($A$2:$A$31,"Supplies",C$2:C$31)</f>
        <v/>
      </c>
      <c r="D37" s="8">
        <f>SUMIF($A$2:$A$31,"Supplies",D$2:D$31)</f>
        <v/>
      </c>
      <c r="E37" s="8">
        <f>SUMIF($A$2:$A$31,"Supplies",E$2:E$31)</f>
        <v/>
      </c>
    </row>
    <row r="38">
      <c r="A38" s="7" t="inlineStr">
        <is>
          <t>Contractual</t>
        </is>
      </c>
      <c r="B38" s="7" t="n"/>
      <c r="C38" s="8">
        <f>SUMIF($A$2:$A$31,"Contractual",C$2:C$31)</f>
        <v/>
      </c>
      <c r="D38" s="8">
        <f>SUMIF($A$2:$A$31,"Contractual",D$2:D$31)</f>
        <v/>
      </c>
      <c r="E38" s="8">
        <f>SUMIF($A$2:$A$31,"Contractual",E$2:E$31)</f>
        <v/>
      </c>
    </row>
    <row r="39">
      <c r="A39" s="7" t="inlineStr">
        <is>
          <t>Other direct</t>
        </is>
      </c>
      <c r="B39" s="7" t="n"/>
      <c r="C39" s="8">
        <f>SUMIF($A$2:$A$31,"Other direct",C$2:C$31)</f>
        <v/>
      </c>
      <c r="D39" s="8">
        <f>SUMIF($A$2:$A$31,"Other direct",D$2:D$31)</f>
        <v/>
      </c>
      <c r="E39" s="8">
        <f>SUMIF($A$2:$A$31,"Other direct",E$2:E$31)</f>
        <v/>
      </c>
    </row>
    <row r="40">
      <c r="A40" s="7" t="inlineStr">
        <is>
          <t>Indirect</t>
        </is>
      </c>
      <c r="B40" s="7" t="n"/>
      <c r="C40" s="8">
        <f>SUMIF($A$2:$A$31,"Indirect",C$2:C$31)</f>
        <v/>
      </c>
      <c r="D40" s="8">
        <f>SUMIF($A$2:$A$31,"Indirect",D$2:D$31)</f>
        <v/>
      </c>
      <c r="E40" s="8">
        <f>SUMIF($A$2:$A$31,"Indirect",E$2:E$31)</f>
        <v/>
      </c>
    </row>
    <row r="41">
      <c r="A41" s="7" t="inlineStr">
        <is>
          <t>Match / other</t>
        </is>
      </c>
      <c r="B41" s="7" t="n"/>
      <c r="C41" s="8">
        <f>SUMIF($A$2:$A$31,"Match / other",C$2:C$31)</f>
        <v/>
      </c>
      <c r="D41" s="8">
        <f>SUMIF($A$2:$A$31,"Match / other",D$2:D$31)</f>
        <v/>
      </c>
      <c r="E41" s="8">
        <f>SUMIF($A$2:$A$31,"Match / other",E$2:E$31)</f>
        <v/>
      </c>
    </row>
    <row r="43">
      <c r="B43" s="6" t="inlineStr">
        <is>
          <t>TOTAL</t>
        </is>
      </c>
      <c r="C43" s="9">
        <f>SUM(C2:C31)</f>
        <v/>
      </c>
      <c r="D43" s="9">
        <f>SUM(D2:D31)</f>
        <v/>
      </c>
      <c r="E43" s="9">
        <f>SUM(E2:E31)</f>
        <v/>
      </c>
    </row>
    <row r="45">
      <c r="B45" s="10" t="inlineStr">
        <is>
          <t>Worked example (rows 2-12): one fictional ESL class expansion — request</t>
        </is>
      </c>
    </row>
    <row r="46">
      <c r="B46" s="10" t="inlineStr">
        <is>
          <t>$10,473 + documented match $600 = $11,073 total project cost. Add your</t>
        </is>
      </c>
    </row>
    <row r="47">
      <c r="B47" s="10" t="inlineStr">
        <is>
          <t>own lines from row 13 — subtotals cover all 30 lines automatically.</t>
        </is>
      </c>
    </row>
    <row r="48">
      <c r="B48" s="10" t="inlineStr">
        <is>
          <t>Rules: every number names its basis · match only if the funder counts it ·</t>
        </is>
      </c>
    </row>
    <row r="49">
      <c r="B49" s="10" t="inlineStr">
        <is>
          <t>the indirect row follows THEIR rule, copied verbatim into the Checklist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56" customWidth="1" min="3" max="3"/>
    <col width="13" customWidth="1" min="4" max="4"/>
    <col width="16" customWidth="1" min="5" max="5"/>
    <col width="22" customWidth="1" min="6" max="6"/>
  </cols>
  <sheetData>
    <row r="1">
      <c r="A1" s="1" t="inlineStr">
        <is>
          <t>#</t>
        </is>
      </c>
      <c r="B1" s="1" t="inlineStr">
        <is>
          <t>What to check in the funder's guidelines</t>
        </is>
      </c>
      <c r="C1" s="1" t="inlineStr">
        <is>
          <t>What the guidelines say — copy verbatim</t>
        </is>
      </c>
      <c r="D1" s="1" t="inlineStr">
        <is>
          <t>Page / section</t>
        </is>
      </c>
      <c r="E1" s="1" t="inlineStr">
        <is>
          <t>Owner</t>
        </is>
      </c>
      <c r="F1" s="1" t="inlineStr">
        <is>
          <t>Status</t>
        </is>
      </c>
    </row>
    <row r="2">
      <c r="A2" s="2" t="n">
        <v>1</v>
      </c>
      <c r="B2" s="2" t="inlineStr">
        <is>
          <t>Application deadline — with timezone, in writing</t>
        </is>
      </c>
      <c r="C2" s="4" t="inlineStr">
        <is>
          <t>Applications due October 9, 2026, 5:00 PM Eastern. Late or incomplete applications are not reviewed.</t>
        </is>
      </c>
      <c r="D2" s="2" t="n"/>
      <c r="E2" s="2" t="n"/>
      <c r="F2" s="2" t="inlineStr">
        <is>
          <t>Confirmed</t>
        </is>
      </c>
    </row>
    <row r="3">
      <c r="A3" s="2" t="n">
        <v>2</v>
      </c>
      <c r="B3" s="2" t="inlineStr">
        <is>
          <t>LOI or pre-proposal required first — and its own deadline</t>
        </is>
      </c>
      <c r="C3" s="4" t="inlineStr">
        <is>
          <t>Organizations must hold current 501(c)(3) status and an annual operating budget under $1,000,000.</t>
        </is>
      </c>
      <c r="D3" s="2" t="n"/>
      <c r="E3" s="2" t="n"/>
      <c r="F3" s="2" t="inlineStr">
        <is>
          <t>Confirmed</t>
        </is>
      </c>
    </row>
    <row r="4">
      <c r="A4" s="2" t="n">
        <v>3</v>
      </c>
      <c r="B4" s="2" t="inlineStr">
        <is>
          <t>Page limit, font size, margin rules</t>
        </is>
      </c>
      <c r="C4" s="2" t="n"/>
      <c r="D4" s="2" t="n"/>
      <c r="E4" s="2" t="n"/>
      <c r="F4" s="2" t="inlineStr">
        <is>
          <t>Not checked</t>
        </is>
      </c>
    </row>
    <row r="5">
      <c r="A5" s="2" t="n">
        <v>4</v>
      </c>
      <c r="B5" s="2" t="inlineStr">
        <is>
          <t>Required sections — and their required order</t>
        </is>
      </c>
      <c r="C5" s="2" t="n"/>
      <c r="D5" s="2" t="n"/>
      <c r="E5" s="2" t="n"/>
      <c r="F5" s="2" t="inlineStr">
        <is>
          <t>Not checked</t>
        </is>
      </c>
    </row>
    <row r="6">
      <c r="A6" s="2" t="n">
        <v>5</v>
      </c>
      <c r="B6" s="2" t="inlineStr">
        <is>
          <t>Their budget form vs our budget template — which one wins</t>
        </is>
      </c>
      <c r="C6" s="2" t="n"/>
      <c r="D6" s="2" t="n"/>
      <c r="E6" s="2" t="n"/>
      <c r="F6" s="2" t="inlineStr">
        <is>
          <t>Not checked</t>
        </is>
      </c>
    </row>
    <row r="7">
      <c r="A7" s="2" t="n">
        <v>6</v>
      </c>
      <c r="B7" s="2" t="inlineStr">
        <is>
          <t>Indirect cost rule — copy their sentence verbatim</t>
        </is>
      </c>
      <c r="C7" s="4" t="inlineStr">
        <is>
          <t>This program does not fund indirect costs.</t>
        </is>
      </c>
      <c r="D7" s="2" t="n"/>
      <c r="E7" s="2" t="n"/>
      <c r="F7" s="2" t="inlineStr">
        <is>
          <t>Not checked</t>
        </is>
      </c>
    </row>
    <row r="8">
      <c r="A8" s="2" t="n">
        <v>7</v>
      </c>
      <c r="B8" s="2" t="inlineStr">
        <is>
          <t>Match or cost-share requirement — and what they count as match</t>
        </is>
      </c>
      <c r="C8" s="2" t="n"/>
      <c r="D8" s="2" t="n"/>
      <c r="E8" s="2" t="n"/>
      <c r="F8" s="2" t="inlineStr">
        <is>
          <t>Not checked</t>
        </is>
      </c>
    </row>
    <row r="9">
      <c r="A9" s="2" t="n">
        <v>8</v>
      </c>
      <c r="B9" s="2" t="inlineStr">
        <is>
          <t>Registrations the funder requires — allow weeks, not days</t>
        </is>
      </c>
      <c r="C9" s="2" t="n"/>
      <c r="D9" s="2" t="n"/>
      <c r="E9" s="2" t="n"/>
      <c r="F9" s="2" t="inlineStr">
        <is>
          <t>Not checked</t>
        </is>
      </c>
    </row>
    <row r="10">
      <c r="A10" s="2" t="n">
        <v>9</v>
      </c>
      <c r="B10" s="2" t="inlineStr">
        <is>
          <t>Required attachments — the full list, checked off one by one</t>
        </is>
      </c>
      <c r="C10" s="2" t="n"/>
      <c r="D10" s="2" t="n"/>
      <c r="E10" s="2" t="n"/>
      <c r="F10" s="2" t="inlineStr">
        <is>
          <t>Not checked</t>
        </is>
      </c>
    </row>
    <row r="11">
      <c r="A11" s="2" t="n">
        <v>10</v>
      </c>
      <c r="B11" s="2" t="inlineStr">
        <is>
          <t>How they want the need stated — which data sources they trust</t>
        </is>
      </c>
      <c r="C11" s="2" t="n"/>
      <c r="D11" s="2" t="n"/>
      <c r="E11" s="2" t="n"/>
      <c r="F11" s="2" t="inlineStr">
        <is>
          <t>Not checked</t>
        </is>
      </c>
    </row>
    <row r="12">
      <c r="A12" s="2" t="n">
        <v>11</v>
      </c>
      <c r="B12" s="2" t="inlineStr">
        <is>
          <t>Evaluation expectations — what they call success, in their words</t>
        </is>
      </c>
      <c r="C12" s="2" t="n"/>
      <c r="D12" s="2" t="n"/>
      <c r="E12" s="2" t="n"/>
      <c r="F12" s="2" t="inlineStr">
        <is>
          <t>Not checked</t>
        </is>
      </c>
    </row>
    <row r="13">
      <c r="A13" s="2" t="n">
        <v>12</v>
      </c>
      <c r="B13" s="2" t="inlineStr">
        <is>
          <t>Reporting schedule and template — calendar it at award, not later</t>
        </is>
      </c>
      <c r="C13" s="2" t="n"/>
      <c r="D13" s="2" t="n"/>
      <c r="E13" s="2" t="n"/>
      <c r="F13" s="2" t="inlineStr">
        <is>
          <t>Not checked</t>
        </is>
      </c>
    </row>
    <row r="14">
      <c r="A14" s="2" t="n">
        <v>13</v>
      </c>
      <c r="B14" s="2" t="inlineStr">
        <is>
          <t>Award window — when decisions land, so follow-up is planned</t>
        </is>
      </c>
      <c r="C14" s="2" t="n"/>
      <c r="D14" s="2" t="n"/>
      <c r="E14" s="2" t="n"/>
      <c r="F14" s="2" t="inlineStr">
        <is>
          <t>Not checked</t>
        </is>
      </c>
    </row>
    <row r="15">
      <c r="A15" s="2" t="n">
        <v>14</v>
      </c>
      <c r="B15" s="2" t="inlineStr">
        <is>
          <t>Allowable and unallowable costs list</t>
        </is>
      </c>
      <c r="C15" s="2" t="n"/>
      <c r="D15" s="2" t="n"/>
      <c r="E15" s="2" t="n"/>
      <c r="F15" s="2" t="inlineStr">
        <is>
          <t>Not checked</t>
        </is>
      </c>
    </row>
    <row r="16">
      <c r="A16" s="2" t="n">
        <v>15</v>
      </c>
      <c r="B16" s="2" t="inlineStr">
        <is>
          <t>Grant period start and end rules — can we start when they fund</t>
        </is>
      </c>
      <c r="C16" s="2" t="n"/>
      <c r="D16" s="2" t="n"/>
      <c r="E16" s="2" t="n"/>
      <c r="F16" s="2" t="inlineStr">
        <is>
          <t>Not checked</t>
        </is>
      </c>
    </row>
    <row r="17">
      <c r="A17" s="2" t="n">
        <v>16</v>
      </c>
      <c r="B17" s="2" t="inlineStr">
        <is>
          <t>File naming and format rules for uploads</t>
        </is>
      </c>
      <c r="C17" s="2" t="n"/>
      <c r="D17" s="2" t="n"/>
      <c r="E17" s="2" t="n"/>
      <c r="F17" s="2" t="inlineStr">
        <is>
          <t>Not checked</t>
        </is>
      </c>
    </row>
    <row r="18">
      <c r="A18" s="2" t="n">
        <v>17</v>
      </c>
      <c r="B18" s="2" t="inlineStr">
        <is>
          <t>Submission portal quirks — save, preview, confirmation email</t>
        </is>
      </c>
      <c r="C18" s="2" t="n"/>
      <c r="D18" s="2" t="n"/>
      <c r="E18" s="2" t="n"/>
      <c r="F18" s="2" t="inlineStr">
        <is>
          <t>Not checked</t>
        </is>
      </c>
    </row>
    <row r="19">
      <c r="A19" s="2" t="n">
        <v>18</v>
      </c>
      <c r="B19" s="2" t="inlineStr">
        <is>
          <t>Who signs — authorizing-official requirements</t>
        </is>
      </c>
      <c r="C19" s="2" t="n"/>
      <c r="D19" s="2" t="n"/>
      <c r="E19" s="2" t="n"/>
      <c r="F19" s="2" t="inlineStr">
        <is>
          <t>Not checked</t>
        </is>
      </c>
    </row>
    <row r="20">
      <c r="A20" s="2" t="n">
        <v>19</v>
      </c>
      <c r="B20" s="2" t="inlineStr">
        <is>
          <t>Renewal or reapplication language — what a second year takes</t>
        </is>
      </c>
      <c r="C20" s="2" t="n"/>
      <c r="D20" s="2" t="n"/>
      <c r="E20" s="2" t="n"/>
      <c r="F20" s="2" t="inlineStr">
        <is>
          <t>Not checked</t>
        </is>
      </c>
    </row>
    <row r="21">
      <c r="A21" s="2" t="n">
        <v>20</v>
      </c>
      <c r="B21" s="2" t="inlineStr">
        <is>
          <t>Acknowledgment and publicity requirements</t>
        </is>
      </c>
      <c r="C21" s="2" t="n"/>
      <c r="D21" s="2" t="n"/>
      <c r="E21" s="2" t="n"/>
      <c r="F21" s="2" t="inlineStr">
        <is>
          <t>Not checked</t>
        </is>
      </c>
    </row>
    <row r="22">
      <c r="A22" s="2" t="n">
        <v>21</v>
      </c>
      <c r="B22" s="2" t="inlineStr">
        <is>
          <t>Conflict-of-interest or disclosure statements</t>
        </is>
      </c>
      <c r="C22" s="2" t="n"/>
      <c r="D22" s="2" t="n"/>
      <c r="E22" s="2" t="n"/>
      <c r="F22" s="2" t="inlineStr">
        <is>
          <t>Not checked</t>
        </is>
      </c>
    </row>
    <row r="23">
      <c r="A23" s="2" t="n">
        <v>22</v>
      </c>
      <c r="B23" s="2" t="inlineStr">
        <is>
          <t>Program officer contact — and their preferred contact method</t>
        </is>
      </c>
      <c r="C23" s="2" t="n"/>
      <c r="D23" s="2" t="n"/>
      <c r="E23" s="2" t="n"/>
      <c r="F23" s="2" t="inlineStr">
        <is>
          <t>Not checked</t>
        </is>
      </c>
    </row>
    <row r="25">
      <c r="A25" s="10" t="inlineStr">
        <is>
          <t>Rule: copy their words, do not paraphrase. A paraphrased rule is a missed requirement.</t>
        </is>
      </c>
    </row>
    <row r="26">
      <c r="A26" s="10" t="inlineStr">
        <is>
          <t>The three italic rows are worked examples from a fictional funder's guidelines.</t>
        </is>
      </c>
    </row>
    <row r="27">
      <c r="A27" s="10" t="inlineStr">
        <is>
          <t>A Conflict row is not a failure — it is a question for the program officer, asked early.</t>
        </is>
      </c>
    </row>
  </sheetData>
  <dataValidations count="1">
    <dataValidation sqref="F2:F23" showDropDown="0" showInputMessage="0" showErrorMessage="0" allowBlank="1" type="list">
      <formula1>"Not checked,Confirmed,Conflict — ask the program officer"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2026-09-25T14:34:29Z</dcterms:created>
  <dcterms:modified xmlns:dcterms="http://purl.org/dc/terms/" xmlns:xsi="http://www.w3.org/2001/XMLSchema-instance" xsi:type="dcterms:W3CDTF">2026-09-25T14:34:29Z</dcterms:modified>
</cp:coreProperties>
</file>