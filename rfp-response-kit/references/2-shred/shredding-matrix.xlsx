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Coverage" sheetId="2" state="visible" r:id="rId2"/>
    <sheet xmlns:r="http://schemas.openxmlformats.org/officeDocument/2006/relationships" name="Amendment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i val="1"/>
      <color rgb="0055627A"/>
    </font>
    <font>
      <b val="1"/>
    </font>
  </fonts>
  <fills count="3">
    <fill>
      <patternFill/>
    </fill>
    <fill>
      <patternFill patternType="gray125"/>
    </fill>
    <fill>
      <patternFill patternType="solid">
        <fgColor rgb="0016243D"/>
      </patternFill>
    </fill>
  </fills>
  <borders count="2">
    <border>
      <left/>
      <right/>
      <top/>
      <bottom/>
      <diagonal/>
    </border>
    <border>
      <bottom style="thin">
        <color rgb="00DCE3EE"/>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1" pivotButton="0" quotePrefix="0" xfId="0"/>
    <xf numFmtId="0" fontId="0" fillId="0" borderId="1" pivotButton="0" quotePrefix="0" xfId="0"/>
    <xf numFmtId="0" fontId="2" fillId="0" borderId="0" pivotButton="0" quotePrefix="0" xfId="0"/>
    <xf numFmtId="0" fontId="3"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56" customWidth="1" min="3" max="3"/>
    <col width="11" customWidth="1" min="4" max="4"/>
    <col width="22" customWidth="1" min="5" max="5"/>
    <col width="16" customWidth="1" min="6" max="6"/>
    <col width="11" customWidth="1" min="7" max="7"/>
    <col width="30" customWidth="1" min="8" max="8"/>
    <col width="32" customWidth="1" min="9" max="9"/>
  </cols>
  <sheetData>
    <row r="1">
      <c r="A1" s="1" t="inlineStr">
        <is>
          <t>Req #</t>
        </is>
      </c>
      <c r="B1" s="1" t="inlineStr">
        <is>
          <t>RFP ref</t>
        </is>
      </c>
      <c r="C1" s="1" t="inlineStr">
        <is>
          <t>Requirement (verbatim or tight excerpt)</t>
        </is>
      </c>
      <c r="D1" s="1" t="inlineStr">
        <is>
          <t>Type</t>
        </is>
      </c>
      <c r="E1" s="1" t="inlineStr">
        <is>
          <t>Answer location (our §)</t>
        </is>
      </c>
      <c r="F1" s="1" t="inlineStr">
        <is>
          <t>Owner</t>
        </is>
      </c>
      <c r="G1" s="1" t="inlineStr">
        <is>
          <t>Status</t>
        </is>
      </c>
      <c r="H1" s="1" t="inlineStr">
        <is>
          <t>Evidence / proof</t>
        </is>
      </c>
      <c r="I1" s="1" t="inlineStr">
        <is>
          <t>Notes</t>
        </is>
      </c>
    </row>
    <row r="2">
      <c r="A2" s="2" t="inlineStr">
        <is>
          <t>R-001</t>
        </is>
      </c>
      <c r="B2" s="2" t="inlineStr">
        <is>
          <t>§3.1, p.7</t>
        </is>
      </c>
      <c r="C2" s="2" t="inlineStr">
        <is>
          <t>The Contractor must provide helpdesk coverage 24x7 with a one-hour response target for Priority 1 incidents.</t>
        </is>
      </c>
      <c r="D2" s="2" t="inlineStr">
        <is>
          <t>Mandatory</t>
        </is>
      </c>
      <c r="E2" s="2" t="inlineStr">
        <is>
          <t>§4 Service model</t>
        </is>
      </c>
      <c r="F2" s="2" t="inlineStr">
        <is>
          <t>A. Rivera (Ops)</t>
        </is>
      </c>
      <c r="G2" s="2" t="inlineStr">
        <is>
          <t>Final</t>
        </is>
      </c>
      <c r="H2" s="2" t="inlineStr">
        <is>
          <t>SLA one-pager v3 + on-call roster</t>
        </is>
      </c>
      <c r="I2" s="2" t="inlineStr">
        <is>
          <t>confirm wording matches the SLA document exactly</t>
        </is>
      </c>
    </row>
    <row r="3">
      <c r="A3" s="2" t="inlineStr">
        <is>
          <t>R-002</t>
        </is>
      </c>
      <c r="B3" s="2" t="inlineStr">
        <is>
          <t>§3.4, p.9</t>
        </is>
      </c>
      <c r="C3" s="2" t="inlineStr">
        <is>
          <t>Proposer will describe its approach to migrating 1,200 workstations from the legacy endpoint agent.</t>
        </is>
      </c>
      <c r="D3" s="2" t="inlineStr">
        <is>
          <t>Mandatory</t>
        </is>
      </c>
      <c r="E3" s="2" t="inlineStr">
        <is>
          <t>§5 Transition plan</t>
        </is>
      </c>
      <c r="F3" s="2" t="inlineStr">
        <is>
          <t>J. Chen</t>
        </is>
      </c>
      <c r="G3" s="2" t="inlineStr">
        <is>
          <t>Drafting</t>
        </is>
      </c>
      <c r="H3" s="2" t="inlineStr">
        <is>
          <t>case study MIG-2025-02</t>
        </is>
      </c>
      <c r="I3" s="2" t="inlineStr">
        <is>
          <t>page budget shared with R-005; amendment 1 moved deadline</t>
        </is>
      </c>
    </row>
    <row r="4">
      <c r="A4" s="2" t="inlineStr">
        <is>
          <t>R-003</t>
        </is>
      </c>
      <c r="B4" s="2" t="inlineStr">
        <is>
          <t>§4.2, p.12</t>
        </is>
      </c>
      <c r="C4" s="2" t="inlineStr">
        <is>
          <t>Provide three references for contracts of similar size within the last five years.</t>
        </is>
      </c>
      <c r="D4" s="2" t="inlineStr">
        <is>
          <t>Mandatory</t>
        </is>
      </c>
      <c r="E4" s="2" t="inlineStr">
        <is>
          <t>§8 References</t>
        </is>
      </c>
      <c r="F4" s="2" t="inlineStr">
        <is>
          <t>S. Patel</t>
        </is>
      </c>
      <c r="G4" s="2" t="inlineStr">
        <is>
          <t>Assigned</t>
        </is>
      </c>
      <c r="H4" s="2" t="inlineStr">
        <is>
          <t>library reference sheet; 2 client consents in hand</t>
        </is>
      </c>
      <c r="I4" s="2" t="inlineStr">
        <is>
          <t>ask M. Ortiz for the third reference</t>
        </is>
      </c>
    </row>
    <row r="5">
      <c r="A5" s="2" t="inlineStr">
        <is>
          <t>R-004</t>
        </is>
      </c>
      <c r="B5" s="2" t="inlineStr">
        <is>
          <t>§5.1, p.15</t>
        </is>
      </c>
      <c r="C5" s="2" t="inlineStr">
        <is>
          <t>Proposer shall complete and return Form C-2 (Conflict of Interest Disclosure).</t>
        </is>
      </c>
      <c r="D5" s="2" t="inlineStr">
        <is>
          <t>Form</t>
        </is>
      </c>
      <c r="E5" s="2" t="inlineStr">
        <is>
          <t>Attachment C-2</t>
        </is>
      </c>
      <c r="F5" s="2" t="inlineStr">
        <is>
          <t>S. Patel</t>
        </is>
      </c>
      <c r="G5" s="2" t="inlineStr">
        <is>
          <t>Final</t>
        </is>
      </c>
      <c r="H5" s="2" t="inlineStr">
        <is>
          <t>signed PDF in deal folder</t>
        </is>
      </c>
      <c r="I5" s="2" t="inlineStr">
        <is>
          <t>needs approver countersign — submission-day checklist item</t>
        </is>
      </c>
    </row>
    <row r="6">
      <c r="A6" s="2" t="inlineStr">
        <is>
          <t>R-005</t>
        </is>
      </c>
      <c r="B6" s="2" t="inlineStr">
        <is>
          <t>§3.9, p.10</t>
        </is>
      </c>
      <c r="C6" s="2" t="inlineStr">
        <is>
          <t>Describe the reporting dashboard and the monthly service review cadence offered.</t>
        </is>
      </c>
      <c r="D6" s="2" t="inlineStr">
        <is>
          <t>Desirable</t>
        </is>
      </c>
      <c r="E6" s="2" t="inlineStr">
        <is>
          <t>§6 Reporting</t>
        </is>
      </c>
      <c r="F6" s="2" t="inlineStr">
        <is>
          <t>J. Chen</t>
        </is>
      </c>
      <c r="G6" s="2" t="inlineStr">
        <is>
          <t>Drafting</t>
        </is>
      </c>
      <c r="H6" s="2" t="inlineStr">
        <is>
          <t>report-pack screenshots + sample monthly report</t>
        </is>
      </c>
      <c r="I6" s="2" t="inlineStr">
        <is>
          <t>reuse the municipal case-study chart</t>
        </is>
      </c>
    </row>
    <row r="7">
      <c r="A7" s="2" t="inlineStr">
        <is>
          <t>R-006</t>
        </is>
      </c>
      <c r="B7" s="2" t="inlineStr">
        <is>
          <t>§6.3, p.18</t>
        </is>
      </c>
      <c r="C7" s="2" t="inlineStr">
        <is>
          <t>Pricing must be submitted in the provided cost workbook, separate from the technical volume.</t>
        </is>
      </c>
      <c r="D7" s="2" t="inlineStr">
        <is>
          <t>Mandatory</t>
        </is>
      </c>
      <c r="E7" s="2" t="inlineStr">
        <is>
          <t>Cost workbook (separate file)</t>
        </is>
      </c>
      <c r="F7" s="2" t="inlineStr">
        <is>
          <t>A. Rivera (Ops)</t>
        </is>
      </c>
      <c r="G7" s="2" t="inlineStr">
        <is>
          <t>Assigned</t>
        </is>
      </c>
      <c r="H7" s="2" t="inlineStr">
        <is>
          <t>pricing model tab drafted</t>
        </is>
      </c>
      <c r="I7" s="2" t="inlineStr">
        <is>
          <t>no pricing language anywhere in the technical volume</t>
        </is>
      </c>
    </row>
    <row r="8">
      <c r="A8" s="3" t="inlineStr">
        <is>
          <t>R-007</t>
        </is>
      </c>
      <c r="B8" s="3" t="n"/>
      <c r="C8" s="3" t="n"/>
      <c r="D8" s="3" t="n"/>
      <c r="E8" s="3" t="n"/>
      <c r="F8" s="3" t="n"/>
      <c r="G8" s="3" t="n"/>
      <c r="H8" s="3" t="n"/>
      <c r="I8" s="3" t="n"/>
    </row>
    <row r="9">
      <c r="A9" s="3" t="inlineStr">
        <is>
          <t>R-008</t>
        </is>
      </c>
      <c r="B9" s="3" t="n"/>
      <c r="C9" s="3" t="n"/>
      <c r="D9" s="3" t="n"/>
      <c r="E9" s="3" t="n"/>
      <c r="F9" s="3" t="n"/>
      <c r="G9" s="3" t="n"/>
      <c r="H9" s="3" t="n"/>
      <c r="I9" s="3" t="n"/>
    </row>
    <row r="10">
      <c r="A10" s="3" t="inlineStr">
        <is>
          <t>R-009</t>
        </is>
      </c>
      <c r="B10" s="3" t="n"/>
      <c r="C10" s="3" t="n"/>
      <c r="D10" s="3" t="n"/>
      <c r="E10" s="3" t="n"/>
      <c r="F10" s="3" t="n"/>
      <c r="G10" s="3" t="n"/>
      <c r="H10" s="3" t="n"/>
      <c r="I10" s="3" t="n"/>
    </row>
    <row r="11">
      <c r="A11" s="3" t="inlineStr">
        <is>
          <t>R-010</t>
        </is>
      </c>
      <c r="B11" s="3" t="n"/>
      <c r="C11" s="3" t="n"/>
      <c r="D11" s="3" t="n"/>
      <c r="E11" s="3" t="n"/>
      <c r="F11" s="3" t="n"/>
      <c r="G11" s="3" t="n"/>
      <c r="H11" s="3" t="n"/>
      <c r="I11" s="3" t="n"/>
    </row>
    <row r="12">
      <c r="A12" s="3" t="inlineStr">
        <is>
          <t>R-011</t>
        </is>
      </c>
      <c r="B12" s="3" t="n"/>
      <c r="C12" s="3" t="n"/>
      <c r="D12" s="3" t="n"/>
      <c r="E12" s="3" t="n"/>
      <c r="F12" s="3" t="n"/>
      <c r="G12" s="3" t="n"/>
      <c r="H12" s="3" t="n"/>
      <c r="I12" s="3" t="n"/>
    </row>
    <row r="13">
      <c r="A13" s="3" t="inlineStr">
        <is>
          <t>R-012</t>
        </is>
      </c>
      <c r="B13" s="3" t="n"/>
      <c r="C13" s="3" t="n"/>
      <c r="D13" s="3" t="n"/>
      <c r="E13" s="3" t="n"/>
      <c r="F13" s="3" t="n"/>
      <c r="G13" s="3" t="n"/>
      <c r="H13" s="3" t="n"/>
      <c r="I13" s="3" t="n"/>
    </row>
    <row r="14">
      <c r="A14" s="3" t="inlineStr">
        <is>
          <t>R-013</t>
        </is>
      </c>
      <c r="B14" s="3" t="n"/>
      <c r="C14" s="3" t="n"/>
      <c r="D14" s="3" t="n"/>
      <c r="E14" s="3" t="n"/>
      <c r="F14" s="3" t="n"/>
      <c r="G14" s="3" t="n"/>
      <c r="H14" s="3" t="n"/>
      <c r="I14" s="3" t="n"/>
    </row>
    <row r="15">
      <c r="A15" s="3" t="inlineStr">
        <is>
          <t>R-014</t>
        </is>
      </c>
      <c r="B15" s="3" t="n"/>
      <c r="C15" s="3" t="n"/>
      <c r="D15" s="3" t="n"/>
      <c r="E15" s="3" t="n"/>
      <c r="F15" s="3" t="n"/>
      <c r="G15" s="3" t="n"/>
      <c r="H15" s="3" t="n"/>
      <c r="I15" s="3" t="n"/>
    </row>
    <row r="16">
      <c r="A16" s="3" t="inlineStr">
        <is>
          <t>R-015</t>
        </is>
      </c>
      <c r="B16" s="3" t="n"/>
      <c r="C16" s="3" t="n"/>
      <c r="D16" s="3" t="n"/>
      <c r="E16" s="3" t="n"/>
      <c r="F16" s="3" t="n"/>
      <c r="G16" s="3" t="n"/>
      <c r="H16" s="3" t="n"/>
      <c r="I16" s="3" t="n"/>
    </row>
    <row r="17">
      <c r="A17" s="3" t="inlineStr">
        <is>
          <t>R-016</t>
        </is>
      </c>
      <c r="B17" s="3" t="n"/>
      <c r="C17" s="3" t="n"/>
      <c r="D17" s="3" t="n"/>
      <c r="E17" s="3" t="n"/>
      <c r="F17" s="3" t="n"/>
      <c r="G17" s="3" t="n"/>
      <c r="H17" s="3" t="n"/>
      <c r="I17" s="3" t="n"/>
    </row>
    <row r="18">
      <c r="A18" s="3" t="inlineStr">
        <is>
          <t>R-017</t>
        </is>
      </c>
      <c r="B18" s="3" t="n"/>
      <c r="C18" s="3" t="n"/>
      <c r="D18" s="3" t="n"/>
      <c r="E18" s="3" t="n"/>
      <c r="F18" s="3" t="n"/>
      <c r="G18" s="3" t="n"/>
      <c r="H18" s="3" t="n"/>
      <c r="I18" s="3" t="n"/>
    </row>
    <row r="19">
      <c r="A19" s="3" t="inlineStr">
        <is>
          <t>R-018</t>
        </is>
      </c>
      <c r="B19" s="3" t="n"/>
      <c r="C19" s="3" t="n"/>
      <c r="D19" s="3" t="n"/>
      <c r="E19" s="3" t="n"/>
      <c r="F19" s="3" t="n"/>
      <c r="G19" s="3" t="n"/>
      <c r="H19" s="3" t="n"/>
      <c r="I19" s="3" t="n"/>
    </row>
    <row r="20">
      <c r="A20" s="3" t="inlineStr">
        <is>
          <t>R-019</t>
        </is>
      </c>
      <c r="B20" s="3" t="n"/>
      <c r="C20" s="3" t="n"/>
      <c r="D20" s="3" t="n"/>
      <c r="E20" s="3" t="n"/>
      <c r="F20" s="3" t="n"/>
      <c r="G20" s="3" t="n"/>
      <c r="H20" s="3" t="n"/>
      <c r="I20" s="3" t="n"/>
    </row>
    <row r="21">
      <c r="A21" s="3" t="inlineStr">
        <is>
          <t>R-020</t>
        </is>
      </c>
      <c r="B21" s="3" t="n"/>
      <c r="C21" s="3" t="n"/>
      <c r="D21" s="3" t="n"/>
      <c r="E21" s="3" t="n"/>
      <c r="F21" s="3" t="n"/>
      <c r="G21" s="3" t="n"/>
      <c r="H21" s="3" t="n"/>
      <c r="I21" s="3" t="n"/>
    </row>
    <row r="22">
      <c r="A22" s="3" t="inlineStr">
        <is>
          <t>R-021</t>
        </is>
      </c>
      <c r="B22" s="3" t="n"/>
      <c r="C22" s="3" t="n"/>
      <c r="D22" s="3" t="n"/>
      <c r="E22" s="3" t="n"/>
      <c r="F22" s="3" t="n"/>
      <c r="G22" s="3" t="n"/>
      <c r="H22" s="3" t="n"/>
      <c r="I22" s="3" t="n"/>
    </row>
    <row r="23">
      <c r="A23" s="3" t="inlineStr">
        <is>
          <t>R-022</t>
        </is>
      </c>
      <c r="B23" s="3" t="n"/>
      <c r="C23" s="3" t="n"/>
      <c r="D23" s="3" t="n"/>
      <c r="E23" s="3" t="n"/>
      <c r="F23" s="3" t="n"/>
      <c r="G23" s="3" t="n"/>
      <c r="H23" s="3" t="n"/>
      <c r="I23" s="3" t="n"/>
    </row>
    <row r="24">
      <c r="A24" s="3" t="inlineStr">
        <is>
          <t>R-023</t>
        </is>
      </c>
      <c r="B24" s="3" t="n"/>
      <c r="C24" s="3" t="n"/>
      <c r="D24" s="3" t="n"/>
      <c r="E24" s="3" t="n"/>
      <c r="F24" s="3" t="n"/>
      <c r="G24" s="3" t="n"/>
      <c r="H24" s="3" t="n"/>
      <c r="I24" s="3" t="n"/>
    </row>
    <row r="25">
      <c r="A25" s="3" t="inlineStr">
        <is>
          <t>R-024</t>
        </is>
      </c>
      <c r="B25" s="3" t="n"/>
      <c r="C25" s="3" t="n"/>
      <c r="D25" s="3" t="n"/>
      <c r="E25" s="3" t="n"/>
      <c r="F25" s="3" t="n"/>
      <c r="G25" s="3" t="n"/>
      <c r="H25" s="3" t="n"/>
      <c r="I25" s="3" t="n"/>
    </row>
    <row r="26">
      <c r="A26" s="3" t="inlineStr">
        <is>
          <t>R-025</t>
        </is>
      </c>
      <c r="B26" s="3" t="n"/>
      <c r="C26" s="3" t="n"/>
      <c r="D26" s="3" t="n"/>
      <c r="E26" s="3" t="n"/>
      <c r="F26" s="3" t="n"/>
      <c r="G26" s="3" t="n"/>
      <c r="H26" s="3" t="n"/>
      <c r="I26" s="3" t="n"/>
    </row>
    <row r="27">
      <c r="A27" s="3" t="inlineStr">
        <is>
          <t>R-026</t>
        </is>
      </c>
      <c r="B27" s="3" t="n"/>
      <c r="C27" s="3" t="n"/>
      <c r="D27" s="3" t="n"/>
      <c r="E27" s="3" t="n"/>
      <c r="F27" s="3" t="n"/>
      <c r="G27" s="3" t="n"/>
      <c r="H27" s="3" t="n"/>
      <c r="I27" s="3" t="n"/>
    </row>
    <row r="28">
      <c r="A28" s="3" t="inlineStr">
        <is>
          <t>R-027</t>
        </is>
      </c>
      <c r="B28" s="3" t="n"/>
      <c r="C28" s="3" t="n"/>
      <c r="D28" s="3" t="n"/>
      <c r="E28" s="3" t="n"/>
      <c r="F28" s="3" t="n"/>
      <c r="G28" s="3" t="n"/>
      <c r="H28" s="3" t="n"/>
      <c r="I28" s="3" t="n"/>
    </row>
    <row r="29">
      <c r="A29" s="3" t="inlineStr">
        <is>
          <t>R-028</t>
        </is>
      </c>
      <c r="B29" s="3" t="n"/>
      <c r="C29" s="3" t="n"/>
      <c r="D29" s="3" t="n"/>
      <c r="E29" s="3" t="n"/>
      <c r="F29" s="3" t="n"/>
      <c r="G29" s="3" t="n"/>
      <c r="H29" s="3" t="n"/>
      <c r="I29" s="3" t="n"/>
    </row>
    <row r="30">
      <c r="A30" s="3" t="inlineStr">
        <is>
          <t>R-029</t>
        </is>
      </c>
      <c r="B30" s="3" t="n"/>
      <c r="C30" s="3" t="n"/>
      <c r="D30" s="3" t="n"/>
      <c r="E30" s="3" t="n"/>
      <c r="F30" s="3" t="n"/>
      <c r="G30" s="3" t="n"/>
      <c r="H30" s="3" t="n"/>
      <c r="I30" s="3" t="n"/>
    </row>
    <row r="31">
      <c r="A31" s="3" t="inlineStr">
        <is>
          <t>R-030</t>
        </is>
      </c>
      <c r="B31" s="3" t="n"/>
      <c r="C31" s="3" t="n"/>
      <c r="D31" s="3" t="n"/>
      <c r="E31" s="3" t="n"/>
      <c r="F31" s="3" t="n"/>
      <c r="G31" s="3" t="n"/>
      <c r="H31" s="3" t="n"/>
      <c r="I31" s="3" t="n"/>
    </row>
    <row r="32">
      <c r="A32" s="3" t="inlineStr">
        <is>
          <t>R-031</t>
        </is>
      </c>
      <c r="B32" s="3" t="n"/>
      <c r="C32" s="3" t="n"/>
      <c r="D32" s="3" t="n"/>
      <c r="E32" s="3" t="n"/>
      <c r="F32" s="3" t="n"/>
      <c r="G32" s="3" t="n"/>
      <c r="H32" s="3" t="n"/>
      <c r="I32" s="3" t="n"/>
    </row>
    <row r="33">
      <c r="A33" s="3" t="inlineStr">
        <is>
          <t>R-032</t>
        </is>
      </c>
      <c r="B33" s="3" t="n"/>
      <c r="C33" s="3" t="n"/>
      <c r="D33" s="3" t="n"/>
      <c r="E33" s="3" t="n"/>
      <c r="F33" s="3" t="n"/>
      <c r="G33" s="3" t="n"/>
      <c r="H33" s="3" t="n"/>
      <c r="I33" s="3" t="n"/>
    </row>
    <row r="34">
      <c r="A34" s="3" t="inlineStr">
        <is>
          <t>R-033</t>
        </is>
      </c>
      <c r="B34" s="3" t="n"/>
      <c r="C34" s="3" t="n"/>
      <c r="D34" s="3" t="n"/>
      <c r="E34" s="3" t="n"/>
      <c r="F34" s="3" t="n"/>
      <c r="G34" s="3" t="n"/>
      <c r="H34" s="3" t="n"/>
      <c r="I34" s="3" t="n"/>
    </row>
    <row r="35">
      <c r="A35" s="3" t="inlineStr">
        <is>
          <t>R-034</t>
        </is>
      </c>
      <c r="B35" s="3" t="n"/>
      <c r="C35" s="3" t="n"/>
      <c r="D35" s="3" t="n"/>
      <c r="E35" s="3" t="n"/>
      <c r="F35" s="3" t="n"/>
      <c r="G35" s="3" t="n"/>
      <c r="H35" s="3" t="n"/>
      <c r="I35" s="3" t="n"/>
    </row>
    <row r="36">
      <c r="A36" s="3" t="inlineStr">
        <is>
          <t>R-035</t>
        </is>
      </c>
      <c r="B36" s="3" t="n"/>
      <c r="C36" s="3" t="n"/>
      <c r="D36" s="3" t="n"/>
      <c r="E36" s="3" t="n"/>
      <c r="F36" s="3" t="n"/>
      <c r="G36" s="3" t="n"/>
      <c r="H36" s="3" t="n"/>
      <c r="I36" s="3" t="n"/>
    </row>
    <row r="37">
      <c r="A37" s="3" t="inlineStr">
        <is>
          <t>R-036</t>
        </is>
      </c>
      <c r="B37" s="3" t="n"/>
      <c r="C37" s="3" t="n"/>
      <c r="D37" s="3" t="n"/>
      <c r="E37" s="3" t="n"/>
      <c r="F37" s="3" t="n"/>
      <c r="G37" s="3" t="n"/>
      <c r="H37" s="3" t="n"/>
      <c r="I37" s="3" t="n"/>
    </row>
    <row r="38">
      <c r="A38" s="3" t="inlineStr">
        <is>
          <t>R-037</t>
        </is>
      </c>
      <c r="B38" s="3" t="n"/>
      <c r="C38" s="3" t="n"/>
      <c r="D38" s="3" t="n"/>
      <c r="E38" s="3" t="n"/>
      <c r="F38" s="3" t="n"/>
      <c r="G38" s="3" t="n"/>
      <c r="H38" s="3" t="n"/>
      <c r="I38" s="3" t="n"/>
    </row>
    <row r="39">
      <c r="A39" s="3" t="inlineStr">
        <is>
          <t>R-038</t>
        </is>
      </c>
      <c r="B39" s="3" t="n"/>
      <c r="C39" s="3" t="n"/>
      <c r="D39" s="3" t="n"/>
      <c r="E39" s="3" t="n"/>
      <c r="F39" s="3" t="n"/>
      <c r="G39" s="3" t="n"/>
      <c r="H39" s="3" t="n"/>
      <c r="I39" s="3" t="n"/>
    </row>
    <row r="40">
      <c r="A40" s="3" t="inlineStr">
        <is>
          <t>R-039</t>
        </is>
      </c>
      <c r="B40" s="3" t="n"/>
      <c r="C40" s="3" t="n"/>
      <c r="D40" s="3" t="n"/>
      <c r="E40" s="3" t="n"/>
      <c r="F40" s="3" t="n"/>
      <c r="G40" s="3" t="n"/>
      <c r="H40" s="3" t="n"/>
      <c r="I40" s="3" t="n"/>
    </row>
    <row r="41">
      <c r="A41" s="3" t="inlineStr">
        <is>
          <t>R-040</t>
        </is>
      </c>
      <c r="B41" s="3" t="n"/>
      <c r="C41" s="3" t="n"/>
      <c r="D41" s="3" t="n"/>
      <c r="E41" s="3" t="n"/>
      <c r="F41" s="3" t="n"/>
      <c r="G41" s="3" t="n"/>
      <c r="H41" s="3" t="n"/>
      <c r="I41" s="3" t="n"/>
    </row>
    <row r="42">
      <c r="A42" s="3" t="inlineStr">
        <is>
          <t>R-041</t>
        </is>
      </c>
      <c r="B42" s="3" t="n"/>
      <c r="C42" s="3" t="n"/>
      <c r="D42" s="3" t="n"/>
      <c r="E42" s="3" t="n"/>
      <c r="F42" s="3" t="n"/>
      <c r="G42" s="3" t="n"/>
      <c r="H42" s="3" t="n"/>
      <c r="I42" s="3" t="n"/>
    </row>
    <row r="43">
      <c r="A43" s="3" t="inlineStr">
        <is>
          <t>R-042</t>
        </is>
      </c>
      <c r="B43" s="3" t="n"/>
      <c r="C43" s="3" t="n"/>
      <c r="D43" s="3" t="n"/>
      <c r="E43" s="3" t="n"/>
      <c r="F43" s="3" t="n"/>
      <c r="G43" s="3" t="n"/>
      <c r="H43" s="3" t="n"/>
      <c r="I43" s="3" t="n"/>
    </row>
    <row r="44">
      <c r="A44" s="3" t="inlineStr">
        <is>
          <t>R-043</t>
        </is>
      </c>
      <c r="B44" s="3" t="n"/>
      <c r="C44" s="3" t="n"/>
      <c r="D44" s="3" t="n"/>
      <c r="E44" s="3" t="n"/>
      <c r="F44" s="3" t="n"/>
      <c r="G44" s="3" t="n"/>
      <c r="H44" s="3" t="n"/>
      <c r="I44" s="3" t="n"/>
    </row>
    <row r="45">
      <c r="A45" s="3" t="inlineStr">
        <is>
          <t>R-044</t>
        </is>
      </c>
      <c r="B45" s="3" t="n"/>
      <c r="C45" s="3" t="n"/>
      <c r="D45" s="3" t="n"/>
      <c r="E45" s="3" t="n"/>
      <c r="F45" s="3" t="n"/>
      <c r="G45" s="3" t="n"/>
      <c r="H45" s="3" t="n"/>
      <c r="I45" s="3" t="n"/>
    </row>
    <row r="46">
      <c r="A46" s="3" t="inlineStr">
        <is>
          <t>R-045</t>
        </is>
      </c>
      <c r="B46" s="3" t="n"/>
      <c r="C46" s="3" t="n"/>
      <c r="D46" s="3" t="n"/>
      <c r="E46" s="3" t="n"/>
      <c r="F46" s="3" t="n"/>
      <c r="G46" s="3" t="n"/>
      <c r="H46" s="3" t="n"/>
      <c r="I46" s="3" t="n"/>
    </row>
    <row r="47">
      <c r="A47" s="3" t="inlineStr">
        <is>
          <t>R-046</t>
        </is>
      </c>
      <c r="B47" s="3" t="n"/>
      <c r="C47" s="3" t="n"/>
      <c r="D47" s="3" t="n"/>
      <c r="E47" s="3" t="n"/>
      <c r="F47" s="3" t="n"/>
      <c r="G47" s="3" t="n"/>
      <c r="H47" s="3" t="n"/>
      <c r="I47" s="3" t="n"/>
    </row>
    <row r="48">
      <c r="A48" s="3" t="inlineStr">
        <is>
          <t>R-047</t>
        </is>
      </c>
      <c r="B48" s="3" t="n"/>
      <c r="C48" s="3" t="n"/>
      <c r="D48" s="3" t="n"/>
      <c r="E48" s="3" t="n"/>
      <c r="F48" s="3" t="n"/>
      <c r="G48" s="3" t="n"/>
      <c r="H48" s="3" t="n"/>
      <c r="I48" s="3" t="n"/>
    </row>
    <row r="49">
      <c r="A49" s="3" t="inlineStr">
        <is>
          <t>R-048</t>
        </is>
      </c>
      <c r="B49" s="3" t="n"/>
      <c r="C49" s="3" t="n"/>
      <c r="D49" s="3" t="n"/>
      <c r="E49" s="3" t="n"/>
      <c r="F49" s="3" t="n"/>
      <c r="G49" s="3" t="n"/>
      <c r="H49" s="3" t="n"/>
      <c r="I49" s="3" t="n"/>
    </row>
    <row r="50">
      <c r="A50" s="3" t="inlineStr">
        <is>
          <t>R-049</t>
        </is>
      </c>
      <c r="B50" s="3" t="n"/>
      <c r="C50" s="3" t="n"/>
      <c r="D50" s="3" t="n"/>
      <c r="E50" s="3" t="n"/>
      <c r="F50" s="3" t="n"/>
      <c r="G50" s="3" t="n"/>
      <c r="H50" s="3" t="n"/>
      <c r="I50" s="3" t="n"/>
    </row>
    <row r="51">
      <c r="A51" s="3" t="inlineStr">
        <is>
          <t>R-050</t>
        </is>
      </c>
      <c r="B51" s="3" t="n"/>
      <c r="C51" s="3" t="n"/>
      <c r="D51" s="3" t="n"/>
      <c r="E51" s="3" t="n"/>
      <c r="F51" s="3" t="n"/>
      <c r="G51" s="3" t="n"/>
      <c r="H51" s="3" t="n"/>
      <c r="I51" s="3" t="n"/>
    </row>
    <row r="52">
      <c r="A52" s="3" t="inlineStr">
        <is>
          <t>R-051</t>
        </is>
      </c>
      <c r="B52" s="3" t="n"/>
      <c r="C52" s="3" t="n"/>
      <c r="D52" s="3" t="n"/>
      <c r="E52" s="3" t="n"/>
      <c r="F52" s="3" t="n"/>
      <c r="G52" s="3" t="n"/>
      <c r="H52" s="3" t="n"/>
      <c r="I52" s="3" t="n"/>
    </row>
    <row r="53">
      <c r="A53" s="3" t="inlineStr">
        <is>
          <t>R-052</t>
        </is>
      </c>
      <c r="B53" s="3" t="n"/>
      <c r="C53" s="3" t="n"/>
      <c r="D53" s="3" t="n"/>
      <c r="E53" s="3" t="n"/>
      <c r="F53" s="3" t="n"/>
      <c r="G53" s="3" t="n"/>
      <c r="H53" s="3" t="n"/>
      <c r="I53" s="3" t="n"/>
    </row>
    <row r="54">
      <c r="A54" s="3" t="inlineStr">
        <is>
          <t>R-053</t>
        </is>
      </c>
      <c r="B54" s="3" t="n"/>
      <c r="C54" s="3" t="n"/>
      <c r="D54" s="3" t="n"/>
      <c r="E54" s="3" t="n"/>
      <c r="F54" s="3" t="n"/>
      <c r="G54" s="3" t="n"/>
      <c r="H54" s="3" t="n"/>
      <c r="I54" s="3" t="n"/>
    </row>
    <row r="55">
      <c r="A55" s="3" t="inlineStr">
        <is>
          <t>R-054</t>
        </is>
      </c>
      <c r="B55" s="3" t="n"/>
      <c r="C55" s="3" t="n"/>
      <c r="D55" s="3" t="n"/>
      <c r="E55" s="3" t="n"/>
      <c r="F55" s="3" t="n"/>
      <c r="G55" s="3" t="n"/>
      <c r="H55" s="3" t="n"/>
      <c r="I55" s="3" t="n"/>
    </row>
    <row r="56">
      <c r="A56" s="3" t="inlineStr">
        <is>
          <t>R-055</t>
        </is>
      </c>
      <c r="B56" s="3" t="n"/>
      <c r="C56" s="3" t="n"/>
      <c r="D56" s="3" t="n"/>
      <c r="E56" s="3" t="n"/>
      <c r="F56" s="3" t="n"/>
      <c r="G56" s="3" t="n"/>
      <c r="H56" s="3" t="n"/>
      <c r="I56" s="3" t="n"/>
    </row>
    <row r="57">
      <c r="A57" s="3" t="inlineStr">
        <is>
          <t>R-056</t>
        </is>
      </c>
      <c r="B57" s="3" t="n"/>
      <c r="C57" s="3" t="n"/>
      <c r="D57" s="3" t="n"/>
      <c r="E57" s="3" t="n"/>
      <c r="F57" s="3" t="n"/>
      <c r="G57" s="3" t="n"/>
      <c r="H57" s="3" t="n"/>
      <c r="I57" s="3" t="n"/>
    </row>
    <row r="58">
      <c r="A58" s="3" t="inlineStr">
        <is>
          <t>R-057</t>
        </is>
      </c>
      <c r="B58" s="3" t="n"/>
      <c r="C58" s="3" t="n"/>
      <c r="D58" s="3" t="n"/>
      <c r="E58" s="3" t="n"/>
      <c r="F58" s="3" t="n"/>
      <c r="G58" s="3" t="n"/>
      <c r="H58" s="3" t="n"/>
      <c r="I58" s="3" t="n"/>
    </row>
    <row r="59">
      <c r="A59" s="3" t="inlineStr">
        <is>
          <t>R-058</t>
        </is>
      </c>
      <c r="B59" s="3" t="n"/>
      <c r="C59" s="3" t="n"/>
      <c r="D59" s="3" t="n"/>
      <c r="E59" s="3" t="n"/>
      <c r="F59" s="3" t="n"/>
      <c r="G59" s="3" t="n"/>
      <c r="H59" s="3" t="n"/>
      <c r="I59" s="3" t="n"/>
    </row>
    <row r="60">
      <c r="A60" s="3" t="inlineStr">
        <is>
          <t>R-059</t>
        </is>
      </c>
      <c r="B60" s="3" t="n"/>
      <c r="C60" s="3" t="n"/>
      <c r="D60" s="3" t="n"/>
      <c r="E60" s="3" t="n"/>
      <c r="F60" s="3" t="n"/>
      <c r="G60" s="3" t="n"/>
      <c r="H60" s="3" t="n"/>
      <c r="I60" s="3" t="n"/>
    </row>
    <row r="62">
      <c r="A62" s="4" t="inlineStr">
        <is>
          <t>One row per requirement (compound asks = several rows; forms and formatting rules get rows too). Verbatim text first — you re-read it at review time. Status: Shredded → Assigned → Drafting → Reviewed → Final; the pre-submit gate is 'sort by status, zero non-Final Mandatory rows'. Italic rows are examples from a fictional municipal IT-support RFP — overwrite them. SOP: shredding-sop.md</t>
        </is>
      </c>
    </row>
  </sheetData>
  <dataValidations count="2">
    <dataValidation sqref="D2:D60" showDropDown="0" showInputMessage="0" showErrorMessage="0" allowBlank="1" type="list">
      <formula1>"Mandatory,Desirable,Form,Information"</formula1>
    </dataValidation>
    <dataValidation sqref="G2:G60" showDropDown="0" showInputMessage="0" showErrorMessage="0" allowBlank="1" type="list">
      <formula1>"Shredded,Assigned,Drafting,Reviewed,Final"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20" customWidth="1" min="3" max="3"/>
    <col width="12" customWidth="1" min="4" max="4"/>
  </cols>
  <sheetData>
    <row r="1">
      <c r="A1" s="1" t="inlineStr">
        <is>
          <t>Coverage — counts update themselves from the Matrix sheet</t>
        </is>
      </c>
      <c r="B1" s="1" t="n"/>
      <c r="C1" s="1" t="n"/>
      <c r="D1" s="1" t="n"/>
    </row>
    <row r="3">
      <c r="A3" s="5" t="inlineStr">
        <is>
          <t>By status</t>
        </is>
      </c>
    </row>
    <row r="4">
      <c r="A4" t="inlineStr">
        <is>
          <t>Status</t>
        </is>
      </c>
      <c r="B4" t="inlineStr">
        <is>
          <t>Count</t>
        </is>
      </c>
    </row>
    <row r="5">
      <c r="A5" t="inlineStr">
        <is>
          <t>Shredded</t>
        </is>
      </c>
      <c r="B5">
        <f>COUNTIF(Matrix!G:G,"Shredded")</f>
        <v/>
      </c>
    </row>
    <row r="6">
      <c r="A6" t="inlineStr">
        <is>
          <t>Assigned</t>
        </is>
      </c>
      <c r="B6">
        <f>COUNTIF(Matrix!G:G,"Assigned")</f>
        <v/>
      </c>
    </row>
    <row r="7">
      <c r="A7" t="inlineStr">
        <is>
          <t>Drafting</t>
        </is>
      </c>
      <c r="B7">
        <f>COUNTIF(Matrix!G:G,"Drafting")</f>
        <v/>
      </c>
    </row>
    <row r="8">
      <c r="A8" t="inlineStr">
        <is>
          <t>Reviewed</t>
        </is>
      </c>
      <c r="B8">
        <f>COUNTIF(Matrix!G:G,"Reviewed")</f>
        <v/>
      </c>
    </row>
    <row r="9">
      <c r="A9" t="inlineStr">
        <is>
          <t>Final</t>
        </is>
      </c>
      <c r="B9">
        <f>COUNTIF(Matrix!G:G,"Final")</f>
        <v/>
      </c>
    </row>
    <row r="11">
      <c r="A11" s="5" t="inlineStr">
        <is>
          <t>By type</t>
        </is>
      </c>
    </row>
    <row r="12">
      <c r="A12" t="inlineStr">
        <is>
          <t>Type</t>
        </is>
      </c>
      <c r="B12" t="inlineStr">
        <is>
          <t>Count</t>
        </is>
      </c>
    </row>
    <row r="13">
      <c r="A13" t="inlineStr">
        <is>
          <t>Mandatory</t>
        </is>
      </c>
      <c r="B13">
        <f>COUNTIF(Matrix!D:D,"Mandatory")</f>
        <v/>
      </c>
    </row>
    <row r="14">
      <c r="A14" t="inlineStr">
        <is>
          <t>Desirable</t>
        </is>
      </c>
      <c r="B14">
        <f>COUNTIF(Matrix!D:D,"Desirable")</f>
        <v/>
      </c>
    </row>
    <row r="15">
      <c r="A15" t="inlineStr">
        <is>
          <t>Form</t>
        </is>
      </c>
      <c r="B15">
        <f>COUNTIF(Matrix!D:D,"Form")</f>
        <v/>
      </c>
    </row>
    <row r="16">
      <c r="A16" t="inlineStr">
        <is>
          <t>Information</t>
        </is>
      </c>
      <c r="B16">
        <f>COUNTIF(Matrix!D:D,"Information")</f>
        <v/>
      </c>
    </row>
    <row r="18">
      <c r="A18" s="5" t="inlineStr">
        <is>
          <t>Mandatory compliance</t>
        </is>
      </c>
    </row>
    <row r="19">
      <c r="A19" t="inlineStr">
        <is>
          <t>Mandatory rows Final / total</t>
        </is>
      </c>
      <c r="B19" s="6">
        <f>IF(COUNTIF(Matrix!D:D,"Mandatory")=0,"",COUNTIFS(Matrix!D:D,"Mandatory",Matrix!G:G,"Final")/COUNTIF(Matrix!D:D,"Mandatory"))</f>
        <v/>
      </c>
    </row>
    <row r="20">
      <c r="A20" t="inlineStr">
        <is>
          <t>All rows Final / total</t>
        </is>
      </c>
      <c r="B20" s="6">
        <f>IF(COUNTA(Matrix!C2:C60)=0,"",COUNTIF(Matrix!G2:G60,"Final")/COUNTA(Matrix!C2:C60))</f>
        <v/>
      </c>
    </row>
    <row r="22">
      <c r="A22" s="4" t="inlineStr">
        <is>
          <t>The submission gate: every Mandatory row Final, and every Form row Final. Reviewers sign the matrix (red-team Round 1) — this sheet is the scoreboard they sign against.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26" customWidth="1" min="4" max="4"/>
    <col width="14" customWidth="1" min="5" max="5"/>
    <col width="8" customWidth="1" min="6" max="6"/>
  </cols>
  <sheetData>
    <row r="1">
      <c r="A1" s="1" t="inlineStr">
        <is>
          <t>Date</t>
        </is>
      </c>
      <c r="B1" s="1" t="inlineStr">
        <is>
          <t>Type</t>
        </is>
      </c>
      <c r="C1" s="1" t="inlineStr">
        <is>
          <t>What changed / what was answered</t>
        </is>
      </c>
      <c r="D1" s="1" t="inlineStr">
        <is>
          <t>Matrix rows affected</t>
        </is>
      </c>
      <c r="E1" s="1" t="inlineStr">
        <is>
          <t>Rows updated by</t>
        </is>
      </c>
      <c r="F1" s="1" t="inlineStr">
        <is>
          <t>Done?</t>
        </is>
      </c>
    </row>
    <row r="2">
      <c r="A2" s="2" t="inlineStr">
        <is>
          <t>2026-09-18</t>
        </is>
      </c>
      <c r="B2" s="2" t="inlineStr">
        <is>
          <t>Amendment 1</t>
        </is>
      </c>
      <c r="C2" s="2" t="inlineStr">
        <is>
          <t>Deadline moved Oct 15 → Oct 22; §5.1 adds Form C-4 (insurance disclosure) — new Form row required</t>
        </is>
      </c>
      <c r="D2" s="2" t="inlineStr">
        <is>
          <t>intake form + calendar + add row R-007</t>
        </is>
      </c>
      <c r="E2" s="2" t="inlineStr">
        <is>
          <t>S. Patel</t>
        </is>
      </c>
      <c r="F2" s="2" t="inlineStr">
        <is>
          <t>Yes</t>
        </is>
      </c>
    </row>
    <row r="3">
      <c r="A3" s="2" t="inlineStr">
        <is>
          <t>2026-09-21</t>
        </is>
      </c>
      <c r="B3" s="2" t="inlineStr">
        <is>
          <t>Q&amp;A #4</t>
        </is>
      </c>
      <c r="C3" s="2" t="inlineStr">
        <is>
          <t>Buyer confirms the legacy agent inventory list is available on request — reduces the migration unknown</t>
        </is>
      </c>
      <c r="D3" s="2" t="inlineStr">
        <is>
          <t>R-002 (Notes)</t>
        </is>
      </c>
      <c r="E3" s="2" t="inlineStr">
        <is>
          <t>J. Chen</t>
        </is>
      </c>
      <c r="F3" s="2" t="inlineStr">
        <is>
          <t>Yes</t>
        </is>
      </c>
    </row>
    <row r="4">
      <c r="A4" s="3" t="n"/>
      <c r="B4" s="3" t="n"/>
      <c r="C4" s="3" t="n"/>
      <c r="D4" s="3" t="n"/>
      <c r="E4" s="3" t="n"/>
      <c r="F4" s="3" t="n"/>
    </row>
    <row r="5">
      <c r="A5" s="3" t="n"/>
      <c r="B5" s="3" t="n"/>
      <c r="C5" s="3" t="n"/>
      <c r="D5" s="3" t="n"/>
      <c r="E5" s="3" t="n"/>
      <c r="F5" s="3" t="n"/>
    </row>
    <row r="6">
      <c r="A6" s="3" t="n"/>
      <c r="B6" s="3" t="n"/>
      <c r="C6" s="3" t="n"/>
      <c r="D6" s="3" t="n"/>
      <c r="E6" s="3" t="n"/>
      <c r="F6" s="3" t="n"/>
    </row>
    <row r="7">
      <c r="A7" s="3" t="n"/>
      <c r="B7" s="3" t="n"/>
      <c r="C7" s="3" t="n"/>
      <c r="D7" s="3" t="n"/>
      <c r="E7" s="3" t="n"/>
      <c r="F7" s="3" t="n"/>
    </row>
    <row r="8">
      <c r="A8" s="3" t="n"/>
      <c r="B8" s="3" t="n"/>
      <c r="C8" s="3" t="n"/>
      <c r="D8" s="3" t="n"/>
      <c r="E8" s="3" t="n"/>
      <c r="F8" s="3" t="n"/>
    </row>
    <row r="9">
      <c r="A9" s="3" t="n"/>
      <c r="B9" s="3" t="n"/>
      <c r="C9" s="3" t="n"/>
      <c r="D9" s="3" t="n"/>
      <c r="E9" s="3" t="n"/>
      <c r="F9" s="3" t="n"/>
    </row>
    <row r="10">
      <c r="A10" s="3" t="n"/>
      <c r="B10" s="3" t="n"/>
      <c r="C10" s="3" t="n"/>
      <c r="D10" s="3" t="n"/>
      <c r="E10" s="3" t="n"/>
      <c r="F10" s="3" t="n"/>
    </row>
    <row r="11">
      <c r="A11" s="3" t="n"/>
      <c r="B11" s="3" t="n"/>
      <c r="C11" s="3" t="n"/>
      <c r="D11" s="3" t="n"/>
      <c r="E11" s="3" t="n"/>
      <c r="F11" s="3" t="n"/>
    </row>
    <row r="12">
      <c r="A12" s="3" t="n"/>
      <c r="B12" s="3" t="n"/>
      <c r="C12" s="3" t="n"/>
      <c r="D12" s="3" t="n"/>
      <c r="E12" s="3" t="n"/>
      <c r="F12" s="3" t="n"/>
    </row>
    <row r="13">
      <c r="A13" s="3" t="n"/>
      <c r="B13" s="3" t="n"/>
      <c r="C13" s="3" t="n"/>
      <c r="D13" s="3" t="n"/>
      <c r="E13" s="3" t="n"/>
      <c r="F13" s="3" t="n"/>
    </row>
    <row r="14">
      <c r="A14" s="3" t="n"/>
      <c r="B14" s="3" t="n"/>
      <c r="C14" s="3" t="n"/>
      <c r="D14" s="3" t="n"/>
      <c r="E14" s="3" t="n"/>
      <c r="F14" s="3" t="n"/>
    </row>
    <row r="15">
      <c r="A15" s="3" t="n"/>
      <c r="B15" s="3" t="n"/>
      <c r="C15" s="3" t="n"/>
      <c r="D15" s="3" t="n"/>
      <c r="E15" s="3" t="n"/>
      <c r="F15" s="3" t="n"/>
    </row>
    <row r="16">
      <c r="A16" s="3" t="n"/>
      <c r="B16" s="3" t="n"/>
      <c r="C16" s="3" t="n"/>
      <c r="D16" s="3" t="n"/>
      <c r="E16" s="3" t="n"/>
      <c r="F16" s="3" t="n"/>
    </row>
    <row r="17">
      <c r="A17" s="3" t="n"/>
      <c r="B17" s="3" t="n"/>
      <c r="C17" s="3" t="n"/>
      <c r="D17" s="3" t="n"/>
      <c r="E17" s="3" t="n"/>
      <c r="F17" s="3" t="n"/>
    </row>
    <row r="18">
      <c r="A18" s="3" t="n"/>
      <c r="B18" s="3" t="n"/>
      <c r="C18" s="3" t="n"/>
      <c r="D18" s="3" t="n"/>
      <c r="E18" s="3" t="n"/>
      <c r="F18" s="3" t="n"/>
    </row>
    <row r="19">
      <c r="A19" s="3" t="n"/>
      <c r="B19" s="3" t="n"/>
      <c r="C19" s="3" t="n"/>
      <c r="D19" s="3" t="n"/>
      <c r="E19" s="3" t="n"/>
      <c r="F19" s="3" t="n"/>
    </row>
    <row r="20">
      <c r="A20" s="3" t="n"/>
      <c r="B20" s="3" t="n"/>
      <c r="C20" s="3" t="n"/>
      <c r="D20" s="3" t="n"/>
      <c r="E20" s="3" t="n"/>
      <c r="F20" s="3" t="n"/>
    </row>
    <row r="21">
      <c r="A21" s="3" t="n"/>
      <c r="B21" s="3" t="n"/>
      <c r="C21" s="3" t="n"/>
      <c r="D21" s="3" t="n"/>
      <c r="E21" s="3" t="n"/>
      <c r="F21" s="3" t="n"/>
    </row>
    <row r="22">
      <c r="A22" s="3" t="n"/>
      <c r="B22" s="3" t="n"/>
      <c r="C22" s="3" t="n"/>
      <c r="D22" s="3" t="n"/>
      <c r="E22" s="3" t="n"/>
      <c r="F22" s="3" t="n"/>
    </row>
    <row r="23">
      <c r="A23" s="3" t="n"/>
      <c r="B23" s="3" t="n"/>
      <c r="C23" s="3" t="n"/>
      <c r="D23" s="3" t="n"/>
      <c r="E23" s="3" t="n"/>
      <c r="F23" s="3" t="n"/>
    </row>
    <row r="24">
      <c r="A24" s="3" t="n"/>
      <c r="B24" s="3" t="n"/>
      <c r="C24" s="3" t="n"/>
      <c r="D24" s="3" t="n"/>
      <c r="E24" s="3" t="n"/>
      <c r="F24" s="3" t="n"/>
    </row>
    <row r="25">
      <c r="A25" s="3" t="n"/>
      <c r="B25" s="3" t="n"/>
      <c r="C25" s="3" t="n"/>
      <c r="D25" s="3" t="n"/>
      <c r="E25" s="3" t="n"/>
      <c r="F25" s="3" t="n"/>
    </row>
    <row r="26">
      <c r="A26" s="3" t="n"/>
      <c r="B26" s="3" t="n"/>
      <c r="C26" s="3" t="n"/>
      <c r="D26" s="3" t="n"/>
      <c r="E26" s="3" t="n"/>
      <c r="F26" s="3" t="n"/>
    </row>
    <row r="27">
      <c r="A27" s="3" t="n"/>
      <c r="B27" s="3" t="n"/>
      <c r="C27" s="3" t="n"/>
      <c r="D27" s="3" t="n"/>
      <c r="E27" s="3" t="n"/>
      <c r="F27" s="3" t="n"/>
    </row>
    <row r="28">
      <c r="A28" s="3" t="n"/>
      <c r="B28" s="3" t="n"/>
      <c r="C28" s="3" t="n"/>
      <c r="D28" s="3" t="n"/>
      <c r="E28" s="3" t="n"/>
      <c r="F28" s="3" t="n"/>
    </row>
    <row r="29">
      <c r="A29" s="3" t="n"/>
      <c r="B29" s="3" t="n"/>
      <c r="C29" s="3" t="n"/>
      <c r="D29" s="3" t="n"/>
      <c r="E29" s="3" t="n"/>
      <c r="F29" s="3" t="n"/>
    </row>
    <row r="30">
      <c r="A30" s="3" t="n"/>
      <c r="B30" s="3" t="n"/>
      <c r="C30" s="3" t="n"/>
      <c r="D30" s="3" t="n"/>
      <c r="E30" s="3" t="n"/>
      <c r="F30" s="3" t="n"/>
    </row>
    <row r="32">
      <c r="A32" s="4" t="inlineStr">
        <is>
          <t>Log every amendment and every material Q&amp;A reply the day it arrives, name the matrix rows it touches, and mark Done only when those rows actually changed. An amendment you did not log is an evaluator instruction you did not follow. SOP: shredding-sop.md</t>
        </is>
      </c>
    </row>
  </sheetData>
  <dataValidations count="2">
    <dataValidation sqref="B2:B30" showDropDown="0" showInputMessage="0" showErrorMessage="0" allowBlank="1" type="list">
      <formula1>"Amendment,Q&amp;A,Email"</formula1>
    </dataValidation>
    <dataValidation sqref="F2:F30"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2026-09-25T08:11:21Z</dcterms:created>
  <dcterms:modified xmlns:dcterms="http://purl.org/dc/terms/" xmlns:xsi="http://www.w3.org/2001/XMLSchema-instance" xsi:type="dcterms:W3CDTF">2026-09-25T08:11:21Z</dcterms:modified>
</cp:coreProperties>
</file>