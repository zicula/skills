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  <sheet xmlns:r="http://schemas.openxmlformats.org/officeDocument/2006/relationships" name="HardGates" sheetId="2" state="visible" r:id="rId2"/>
    <sheet xmlns:r="http://schemas.openxmlformats.org/officeDocument/2006/relationships" name="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627A"/>
    </font>
    <font>
      <b val="1"/>
    </font>
  </fonts>
  <fills count="3">
    <fill>
      <patternFill/>
    </fill>
    <fill>
      <patternFill patternType="gray125"/>
    </fill>
    <fill>
      <patternFill patternType="solid">
        <fgColor rgb="0016243D"/>
      </patternFill>
    </fill>
  </fills>
  <borders count="2">
    <border>
      <left/>
      <right/>
      <top/>
      <bottom/>
      <diagonal/>
    </border>
    <border>
      <bottom style="thin">
        <color rgb="00DCE3E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2" customWidth="1" min="3" max="3"/>
    <col width="8" customWidth="1" min="4" max="4"/>
    <col width="11" customWidth="1" min="5" max="5"/>
    <col width="13" customWidth="1" min="6" max="6"/>
    <col width="46" customWidth="1" min="7" max="7"/>
  </cols>
  <sheetData>
    <row r="1">
      <c r="A1" s="1" t="inlineStr">
        <is>
          <t>#</t>
        </is>
      </c>
      <c r="B1" s="1" t="inlineStr">
        <is>
          <t>Group</t>
        </is>
      </c>
      <c r="C1" s="1" t="inlineStr">
        <is>
          <t>Criterion</t>
        </is>
      </c>
      <c r="D1" s="1" t="inlineStr">
        <is>
          <t>Weight</t>
        </is>
      </c>
      <c r="E1" s="1" t="inlineStr">
        <is>
          <t>Score (0-4)</t>
        </is>
      </c>
      <c r="F1" s="1" t="inlineStr">
        <is>
          <t>Weighted (auto)</t>
        </is>
      </c>
      <c r="G1" s="1" t="inlineStr">
        <is>
          <t>Evidence / notes</t>
        </is>
      </c>
    </row>
    <row r="2">
      <c r="A2" s="2" t="n">
        <v>1</v>
      </c>
      <c r="B2" s="2" t="inlineStr">
        <is>
          <t>Fit</t>
        </is>
      </c>
      <c r="C2" s="2" t="inlineStr">
        <is>
          <t>Core scope matches what we sell and deliver</t>
        </is>
      </c>
      <c r="D2" s="2" t="n">
        <v>12</v>
      </c>
      <c r="E2" s="2" t="n">
        <v>4</v>
      </c>
      <c r="F2" s="3">
        <f>D2*E2/4</f>
        <v/>
      </c>
      <c r="G2" s="3" t="inlineStr">
        <is>
          <t>exactly the service we sell — see case studies MIG-2025-02</t>
        </is>
      </c>
    </row>
    <row r="3">
      <c r="A3" s="2" t="n">
        <v>2</v>
      </c>
      <c r="B3" s="2" t="inlineStr">
        <is>
          <t>Fit</t>
        </is>
      </c>
      <c r="C3" s="2" t="inlineStr">
        <is>
          <t>Required qualifications and experience we already hold</t>
        </is>
      </c>
      <c r="D3" s="2" t="n">
        <v>10</v>
      </c>
      <c r="E3" s="2" t="n">
        <v>1</v>
      </c>
      <c r="F3" s="3">
        <f>D3*E3/4</f>
        <v/>
      </c>
      <c r="G3" s="3" t="inlineStr">
        <is>
          <t>ISO 27001 required (RFP §7.2); we do not hold it — HardGate 1</t>
        </is>
      </c>
    </row>
    <row r="4">
      <c r="A4" s="2" t="n">
        <v>3</v>
      </c>
      <c r="B4" s="2" t="inlineStr">
        <is>
          <t>Fit</t>
        </is>
      </c>
      <c r="C4" s="2" t="inlineStr">
        <is>
          <t>Buyer's timeline is feasible for the delivery</t>
        </is>
      </c>
      <c r="D4" s="2" t="n">
        <v>8</v>
      </c>
      <c r="E4" s="2" t="n">
        <v>4</v>
      </c>
      <c r="F4" s="3">
        <f>D4*E4/4</f>
        <v/>
      </c>
      <c r="G4" s="3" t="inlineStr">
        <is>
          <t>Oct 22 deadline is workable with current commitments</t>
        </is>
      </c>
    </row>
    <row r="5">
      <c r="A5" s="2" t="n">
        <v>4</v>
      </c>
      <c r="B5" s="2" t="inlineStr">
        <is>
          <t>Reachability</t>
        </is>
      </c>
      <c r="C5" s="2" t="inlineStr">
        <is>
          <t>Existing relationship with the buyer</t>
        </is>
      </c>
      <c r="D5" s="2" t="n">
        <v>8</v>
      </c>
      <c r="E5" s="2" t="n">
        <v>2</v>
      </c>
      <c r="F5" s="3">
        <f>D5*E5/4</f>
        <v/>
      </c>
      <c r="G5" s="3" t="inlineStr">
        <is>
          <t>met the CIO at the September supplier briefing</t>
        </is>
      </c>
    </row>
    <row r="6">
      <c r="A6" s="2" t="n">
        <v>5</v>
      </c>
      <c r="B6" s="2" t="inlineStr">
        <is>
          <t>Reachability</t>
        </is>
      </c>
      <c r="C6" s="2" t="inlineStr">
        <is>
          <t>Incumbent situation favors a change (or we renew as incumbent)</t>
        </is>
      </c>
      <c r="D6" s="2" t="n">
        <v>8</v>
      </c>
      <c r="E6" s="2" t="n">
        <v>3</v>
      </c>
      <c r="F6" s="3">
        <f>D6*E6/4</f>
        <v/>
      </c>
      <c r="G6" s="3" t="inlineStr">
        <is>
          <t>incumbent 6 years, renewal fatigue visible in the RFP tone</t>
        </is>
      </c>
    </row>
    <row r="7">
      <c r="A7" s="2" t="n">
        <v>6</v>
      </c>
      <c r="B7" s="2" t="inlineStr">
        <is>
          <t>Reachability</t>
        </is>
      </c>
      <c r="C7" s="2" t="inlineStr">
        <is>
          <t>Stated evaluation criteria reward our documented strengths</t>
        </is>
      </c>
      <c r="D7" s="2" t="n">
        <v>8</v>
      </c>
      <c r="E7" s="2" t="n">
        <v>4</v>
      </c>
      <c r="F7" s="3">
        <f>D7*E7/4</f>
        <v/>
      </c>
      <c r="G7" s="3" t="inlineStr">
        <is>
          <t>criteria weight service levels 30% — our SLA record is strong</t>
        </is>
      </c>
    </row>
    <row r="8">
      <c r="A8" s="2" t="n">
        <v>7</v>
      </c>
      <c r="B8" s="2" t="inlineStr">
        <is>
          <t>Reachability</t>
        </is>
      </c>
      <c r="C8" s="2" t="inlineStr">
        <is>
          <t>Price-to-win realistic at our target margin</t>
        </is>
      </c>
      <c r="D8" s="2" t="n">
        <v>10</v>
      </c>
      <c r="E8" s="2" t="n">
        <v>2</v>
      </c>
      <c r="F8" s="3">
        <f>D8*E8/4</f>
        <v/>
      </c>
      <c r="G8" s="3" t="inlineStr">
        <is>
          <t>their budget range fits our standard municipal pricing</t>
        </is>
      </c>
    </row>
    <row r="9">
      <c r="A9" s="2" t="n">
        <v>8</v>
      </c>
      <c r="B9" s="2" t="inlineStr">
        <is>
          <t>Reachability</t>
        </is>
      </c>
      <c r="C9" s="2" t="inlineStr">
        <is>
          <t>Competitive field we can beat (few/weak bidders, tired incumbent)</t>
        </is>
      </c>
      <c r="D9" s="2" t="n">
        <v>6</v>
      </c>
      <c r="E9" s="2" t="n">
        <v>2</v>
      </c>
      <c r="F9" s="3">
        <f>D9*E9/4</f>
        <v/>
      </c>
      <c r="G9" s="3" t="inlineStr">
        <is>
          <t>regional list suggests 4-6 bidders</t>
        </is>
      </c>
    </row>
    <row r="10">
      <c r="A10" s="2" t="n">
        <v>9</v>
      </c>
      <c r="B10" s="2" t="inlineStr">
        <is>
          <t>Capacity</t>
        </is>
      </c>
      <c r="C10" s="2" t="inlineStr">
        <is>
          <t>Bid-writing hours actually available before the deadline</t>
        </is>
      </c>
      <c r="D10" s="2" t="n">
        <v>9</v>
      </c>
      <c r="E10" s="2" t="n">
        <v>3</v>
      </c>
      <c r="F10" s="3">
        <f>D10*E10/4</f>
        <v/>
      </c>
      <c r="G10" s="3" t="inlineStr">
        <is>
          <t>we have 60 real hours across the team before Oct 22</t>
        </is>
      </c>
    </row>
    <row r="11">
      <c r="A11" s="2" t="n">
        <v>10</v>
      </c>
      <c r="B11" s="2" t="inlineStr">
        <is>
          <t>Capacity</t>
        </is>
      </c>
      <c r="C11" s="2" t="inlineStr">
        <is>
          <t>Content ready in our library (past performance, bios, references)</t>
        </is>
      </c>
      <c r="D11" s="2" t="n">
        <v>7</v>
      </c>
      <c r="E11" s="2" t="n">
        <v>2</v>
      </c>
      <c r="F11" s="3">
        <f>D11*E11/4</f>
        <v/>
      </c>
      <c r="G11" s="3" t="inlineStr">
        <is>
          <t>SLA one-pager, refs, bios all current in the library</t>
        </is>
      </c>
    </row>
    <row r="12">
      <c r="A12" s="2" t="n">
        <v>11</v>
      </c>
      <c r="B12" s="2" t="inlineStr">
        <is>
          <t>Capacity</t>
        </is>
      </c>
      <c r="C12" s="2" t="inlineStr">
        <is>
          <t>Payment terms, cash flow, insurance and bonding we can accept</t>
        </is>
      </c>
      <c r="D12" s="2" t="n">
        <v>7</v>
      </c>
      <c r="E12" s="2" t="n">
        <v>4</v>
      </c>
      <c r="F12" s="3">
        <f>D12*E12/4</f>
        <v/>
      </c>
      <c r="G12" s="3" t="inlineStr">
        <is>
          <t>NET 30 acceptable; insurance limits already met</t>
        </is>
      </c>
    </row>
    <row r="13">
      <c r="A13" s="2" t="n">
        <v>12</v>
      </c>
      <c r="B13" s="2" t="inlineStr">
        <is>
          <t>Capacity</t>
        </is>
      </c>
      <c r="C13" s="2" t="inlineStr">
        <is>
          <t>Delivery capacity free after award if we win</t>
        </is>
      </c>
      <c r="D13" s="2" t="n">
        <v>7</v>
      </c>
      <c r="E13" s="2" t="n">
        <v>3</v>
      </c>
      <c r="F13" s="3">
        <f>D13*E13/4</f>
        <v/>
      </c>
      <c r="G13" s="3" t="inlineStr">
        <is>
          <t>two engineers free from November</t>
        </is>
      </c>
    </row>
    <row r="15">
      <c r="C15" s="4" t="inlineStr">
        <is>
          <t>TOTAL (out of 100)</t>
        </is>
      </c>
      <c r="D15" s="4">
        <f>SUM(D2:D13)</f>
        <v/>
      </c>
      <c r="F15" s="4">
        <f>SUM(F2:F13)</f>
        <v/>
      </c>
    </row>
    <row r="16">
      <c r="C16" s="4" t="inlineStr">
        <is>
          <t>VERDICT</t>
        </is>
      </c>
      <c r="F16" s="4">
        <f>IF(COUNTIF(HardGates!C2:C7,"Yes")&gt;0,"STAY OUT — hard gate met",IF(F15&gt;=65,"bid — commit the team",IF(F15&gt;=45,"conditional — resolve the low scorers, then re-score","no-bid — send the decline, keep the relationship")))</f>
        <v/>
      </c>
    </row>
    <row r="18">
      <c r="C18" s="5" t="inlineStr">
        <is>
          <t>Score 0-4 against evidence (guide: bid-no-bid-guide.md): 4 = true and evidenced, 3 = small closable gap, 2 = partly true, 1 = stretch, 0 = false today. Weights sum to 100; the weighted total reads out of 100. Any HardGates Yes forces STAY OUT regardless of the total. Italic cells are a worked example — overwrite them.</t>
        </is>
      </c>
    </row>
  </sheetData>
  <dataValidations count="1">
    <dataValidation sqref="E2:E13" showDropDown="0" showInputMessage="0" showErrorMessage="1" allowBlank="1" error="Score must be a whole number from 0 to 4 — the guide defines each level." type="whole" operator="between">
      <formula1>0</formula1>
      <formula2>4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8" customWidth="1" min="2" max="2"/>
    <col width="14" customWidth="1" min="3" max="3"/>
  </cols>
  <sheetData>
    <row r="1">
      <c r="A1" s="1" t="inlineStr">
        <is>
          <t>#</t>
        </is>
      </c>
      <c r="B1" s="1" t="inlineStr">
        <is>
          <t>Hard gate (any Yes = stay out, whatever the score)</t>
        </is>
      </c>
      <c r="C1" s="1" t="inlineStr">
        <is>
          <t>True? (Yes/No)</t>
        </is>
      </c>
    </row>
    <row r="2">
      <c r="A2" s="2" t="n">
        <v>1</v>
      </c>
      <c r="B2" s="2" t="inlineStr">
        <is>
          <t>A mandatory qualification we do not hold and cannot obtain before questions-due</t>
        </is>
      </c>
      <c r="C2" s="2" t="inlineStr">
        <is>
          <t>Yes</t>
        </is>
      </c>
    </row>
    <row r="3">
      <c r="A3" s="3" t="n">
        <v>2</v>
      </c>
      <c r="B3" s="3" t="inlineStr">
        <is>
          <t>The deadline cannot be staffed with real hours (calendar check, not hope)</t>
        </is>
      </c>
      <c r="C3" s="3" t="inlineStr">
        <is>
          <t>No</t>
        </is>
      </c>
    </row>
    <row r="4">
      <c r="A4" s="3" t="n">
        <v>3</v>
      </c>
      <c r="B4" s="3" t="inlineStr">
        <is>
          <t>Required contract terms we cannot accept (liability, IP, payment terms)</t>
        </is>
      </c>
      <c r="C4" s="3" t="inlineStr">
        <is>
          <t>No</t>
        </is>
      </c>
    </row>
    <row r="5">
      <c r="A5" s="3" t="n">
        <v>4</v>
      </c>
      <c r="B5" s="3" t="inlineStr">
        <is>
          <t>Mandatory insurance, bonding or certification we lack</t>
        </is>
      </c>
      <c r="C5" s="3" t="inlineStr">
        <is>
          <t>No</t>
        </is>
      </c>
    </row>
    <row r="6">
      <c r="A6" s="3" t="n">
        <v>5</v>
      </c>
      <c r="B6" s="3" t="inlineStr">
        <is>
          <t>On-site presence, residency or clearance requirements we cannot meet</t>
        </is>
      </c>
      <c r="C6" s="3" t="inlineStr">
        <is>
          <t>No</t>
        </is>
      </c>
    </row>
    <row r="7">
      <c r="A7" s="3" t="n">
        <v>6</v>
      </c>
      <c r="B7" s="3" t="inlineStr">
        <is>
          <t>Conflict of interest: we could not serve this buyer impartially</t>
        </is>
      </c>
      <c r="C7" s="3" t="inlineStr">
        <is>
          <t>No</t>
        </is>
      </c>
    </row>
    <row r="9">
      <c r="B9" s="5" t="inlineStr">
        <is>
          <t>Set honestly from the intake form's mandatory-gates section. One Yes here ends the process: send the decline early (template in the guide) and bank the hours. The worked example ships with gate 1 = Yes because the example opportunity requires a certification the example team lacks.</t>
        </is>
      </c>
    </row>
  </sheetData>
  <dataValidations count="1">
    <dataValidation sqref="C2:C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3" customWidth="1" min="3" max="3"/>
    <col width="12" customWidth="1" min="4" max="4"/>
    <col width="22" customWidth="1" min="5" max="5"/>
    <col width="52" customWidth="1" min="6" max="6"/>
  </cols>
  <sheetData>
    <row r="1">
      <c r="A1" s="1" t="inlineStr">
        <is>
          <t>Date</t>
        </is>
      </c>
      <c r="B1" s="1" t="inlineStr">
        <is>
          <t>Opportunity</t>
        </is>
      </c>
      <c r="C1" s="1" t="inlineStr">
        <is>
          <t>Score (of 100)</t>
        </is>
      </c>
      <c r="D1" s="1" t="inlineStr">
        <is>
          <t>Hard gates?</t>
        </is>
      </c>
      <c r="E1" s="1" t="inlineStr">
        <is>
          <t>Decision</t>
        </is>
      </c>
      <c r="F1" s="1" t="inlineStr">
        <is>
          <t>Reason / conditions</t>
        </is>
      </c>
    </row>
    <row r="2">
      <c r="A2" s="2" t="inlineStr">
        <is>
          <t>2026-09-02</t>
        </is>
      </c>
      <c r="B2" s="2" t="inlineStr">
        <is>
          <t>OPP-2609-01 Municipal IT-support RFP</t>
        </is>
      </c>
      <c r="C2" s="2" t="n">
        <v>71</v>
      </c>
      <c r="D2" s="2" t="inlineStr">
        <is>
          <t>Yes (gate 1)</t>
        </is>
      </c>
      <c r="E2" s="2" t="inlineStr">
        <is>
          <t>STAY OUT</t>
        </is>
      </c>
      <c r="F2" s="2" t="inlineStr">
        <is>
          <t>required ISO 27001 we cannot obtain in time — declined early, asked to stay on the vendor list</t>
        </is>
      </c>
    </row>
    <row r="3">
      <c r="A3" s="2" t="inlineStr">
        <is>
          <t>2026-08-18</t>
        </is>
      </c>
      <c r="B3" s="2" t="inlineStr">
        <is>
          <t>OPP-2608-03 Retail chain wifi rollout</t>
        </is>
      </c>
      <c r="C3" s="2" t="n">
        <v>58</v>
      </c>
      <c r="D3" s="2" t="inlineStr">
        <is>
          <t>No</t>
        </is>
      </c>
      <c r="E3" s="2" t="inlineStr">
        <is>
          <t>CONDITIONAL → BID</t>
        </is>
      </c>
      <c r="F3" s="2" t="inlineStr">
        <is>
          <t>bid only if cabling partner confirmed rates — confirmed 20 Aug, re-scored 62</t>
        </is>
      </c>
    </row>
    <row r="4">
      <c r="A4" s="2" t="inlineStr">
        <is>
          <t>2026-07-30</t>
        </is>
      </c>
      <c r="B4" s="2" t="inlineStr">
        <is>
          <t>OPP-2607-02 Museum CRM migration</t>
        </is>
      </c>
      <c r="C4" s="2" t="n">
        <v>41</v>
      </c>
      <c r="D4" s="2" t="inlineStr">
        <is>
          <t>No</t>
        </is>
      </c>
      <c r="E4" s="2" t="inlineStr">
        <is>
          <t>NO-BID</t>
        </is>
      </c>
      <c r="F4" s="2" t="inlineStr">
        <is>
          <t>no comparable delivery in our portfolio — decline sent within the Q&amp;A window</t>
        </is>
      </c>
    </row>
    <row r="6">
      <c r="A6" s="5" t="inlineStr">
        <is>
          <t>One row per decision — the score at decision time, the gates, and the honest one-line reason. After ~6 bids this log tells you which bids you should actually chase; the debrief SOP re-weights the scorecard from it quarterly.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2026-09-25T08:11:21Z</dcterms:created>
  <dcterms:modified xmlns:dcterms="http://purl.org/dc/terms/" xmlns:xsi="http://www.w3.org/2001/XMLSchema-instance" xsi:type="dcterms:W3CDTF">2026-09-25T08:11:21Z</dcterms:modified>
</cp:coreProperties>
</file>